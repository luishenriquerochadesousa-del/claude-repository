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nthly Flows" sheetId="2" state="visible" r:id="rId2"/>
    <sheet name="Balances" sheetId="3" state="visible" r:id="rId3"/>
    <sheet name="Investment Flows" sheetId="4" state="visible" r:id="rId4"/>
    <sheet name="Invested vs Returns" sheetId="5" state="visible" r:id="rId5"/>
    <sheet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.00;(€#,##0.00);-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BFBFBF"/>
      <sz val="8"/>
    </font>
    <font>
      <name val="Arial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top style="medium">
        <color rgb="001F3864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164" fontId="6" fillId="0" borderId="0" pivotButton="0" quotePrefix="0" xfId="0"/>
    <xf numFmtId="164" fontId="4" fillId="0" borderId="0" pivotButton="0" quotePrefix="0" xfId="0"/>
    <xf numFmtId="164" fontId="3" fillId="0" borderId="1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164" fontId="8" fillId="0" borderId="0" pivotButton="0" quotePrefix="0" xfId="0"/>
    <xf numFmtId="164" fontId="3" fillId="0" borderId="0" pivotButton="0" quotePrefix="0" xfId="0"/>
    <xf numFmtId="0" fontId="5" fillId="2" borderId="0" applyAlignment="1" pivotButton="0" quotePrefix="0" xfId="0">
      <alignment horizontal="center"/>
    </xf>
    <xf numFmtId="10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Net worth over time (2026)</a:t>
            </a:r>
          </a:p>
        </rich>
      </tx>
    </title>
    <plotArea>
      <lineChart>
        <grouping val="standard"/>
        <ser>
          <idx val="0"/>
          <order val="0"/>
          <tx>
            <v>Net worth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'Balances'!$D$4:$L$4</f>
            </numRef>
          </cat>
          <val>
            <numRef>
              <f>'Balances'!$D$20:$L$20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Balance evolution by account (2026)</a:t>
            </a:r>
          </a:p>
        </rich>
      </tx>
    </title>
    <plotArea>
      <lineChart>
        <grouping val="standard"/>
        <ser>
          <idx val="0"/>
          <order val="0"/>
          <tx>
            <v>Cash Withdrawls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'Balances'!$D$4:$L$4</f>
            </numRef>
          </cat>
          <val>
            <numRef>
              <f>'Balances'!$D$5:$L$5</f>
            </numRef>
          </val>
          <smooth val="0"/>
        </ser>
        <ser>
          <idx val="1"/>
          <order val="1"/>
          <tx>
            <v>Certificados de Aforro CTT - Série 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'Balances'!$D$4:$L$4</f>
            </numRef>
          </cat>
          <val>
            <numRef>
              <f>'Balances'!$D$6:$L$6</f>
            </numRef>
          </val>
          <smooth val="0"/>
        </ser>
        <ser>
          <idx val="2"/>
          <order val="2"/>
          <tx>
            <v>Certificados de Aforro CTT - Série F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'Balances'!$D$4:$L$4</f>
            </numRef>
          </cat>
          <val>
            <numRef>
              <f>'Balances'!$D$7:$L$7</f>
            </numRef>
          </val>
          <smooth val="0"/>
        </ser>
        <ser>
          <idx val="3"/>
          <order val="3"/>
          <tx>
            <v>Conta Bolsas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'Balances'!$D$4:$L$4</f>
            </numRef>
          </cat>
          <val>
            <numRef>
              <f>'Balances'!$D$8:$L$8</f>
            </numRef>
          </val>
          <smooth val="0"/>
        </ser>
        <ser>
          <idx val="4"/>
          <order val="4"/>
          <tx>
            <v>Conta Corrente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'Balances'!$D$4:$L$4</f>
            </numRef>
          </cat>
          <val>
            <numRef>
              <f>'Balances'!$D$9:$L$9</f>
            </numRef>
          </val>
          <smooth val="0"/>
        </ser>
        <ser>
          <idx val="5"/>
          <order val="5"/>
          <tx>
            <v>Conta Poupança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'Balances'!$D$4:$L$4</f>
            </numRef>
          </cat>
          <val>
            <numRef>
              <f>'Balances'!$D$10:$L$10</f>
            </numRef>
          </val>
          <smooth val="0"/>
        </ser>
        <ser>
          <idx val="6"/>
          <order val="6"/>
          <tx>
            <v>PayPal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'Balances'!$D$4:$L$4</f>
            </numRef>
          </cat>
          <val>
            <numRef>
              <f>'Balances'!$D$11:$L$11</f>
            </numRef>
          </val>
          <smooth val="0"/>
        </ser>
        <ser>
          <idx val="7"/>
          <order val="7"/>
          <tx>
            <v>Revolut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'Balances'!$D$4:$L$4</f>
            </numRef>
          </cat>
          <val>
            <numRef>
              <f>'Balances'!$D$12:$L$12</f>
            </numRef>
          </val>
          <smooth val="0"/>
        </ser>
        <ser>
          <idx val="8"/>
          <order val="8"/>
          <tx>
            <v>Revolut - Fundo Emergência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'Balances'!$D$4:$L$4</f>
            </numRef>
          </cat>
          <val>
            <numRef>
              <f>'Balances'!$D$13:$L$13</f>
            </numRef>
          </val>
          <smooth val="0"/>
        </ser>
        <ser>
          <idx val="9"/>
          <order val="9"/>
          <tx>
            <v>Revolut - Wealth Build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'Balances'!$D$4:$L$4</f>
            </numRef>
          </cat>
          <val>
            <numRef>
              <f>'Balances'!$D$14:$L$14</f>
            </numRef>
          </val>
          <smooth val="0"/>
        </ser>
        <ser>
          <idx val="10"/>
          <order val="10"/>
          <tx>
            <v>Robinhood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'Balances'!$D$4:$L$4</f>
            </numRef>
          </cat>
          <val>
            <numRef>
              <f>'Balances'!$D$15:$L$15</f>
            </numRef>
          </val>
          <smooth val="0"/>
        </ser>
        <ser>
          <idx val="11"/>
          <order val="11"/>
          <tx>
            <v>Trade Republic Account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'Balances'!$D$4:$L$4</f>
            </numRef>
          </cat>
          <val>
            <numRef>
              <f>'Balances'!$D$16:$L$16</f>
            </numRef>
          </val>
          <smooth val="0"/>
        </ser>
        <ser>
          <idx val="12"/>
          <order val="12"/>
          <tx>
            <v>Trade Republic Inv. - Brokerage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'Balances'!$D$4:$L$4</f>
            </numRef>
          </cat>
          <val>
            <numRef>
              <f>'Balances'!$D$17:$L$17</f>
            </numRef>
          </val>
          <smooth val="0"/>
        </ser>
        <ser>
          <idx val="13"/>
          <order val="13"/>
          <tx>
            <v>Trade Republic Inv. - Crypto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'Balances'!$D$4:$L$4</f>
            </numRef>
          </cat>
          <val>
            <numRef>
              <f>'Balances'!$D$18:$L$18</f>
            </numRef>
          </val>
          <smooth val="0"/>
        </ser>
        <ser>
          <idx val="14"/>
          <order val="14"/>
          <tx>
            <v>Trading 212 Account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'Balances'!$D$4:$L$4</f>
            </numRef>
          </cat>
          <val>
            <numRef>
              <f>'Balances'!$D$19:$L$19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Invested capital vs. portfolio value (2026)</a:t>
            </a:r>
          </a:p>
        </rich>
      </tx>
    </title>
    <plotArea>
      <lineChart>
        <grouping val="standard"/>
        <ser>
          <idx val="0"/>
          <order val="0"/>
          <tx>
            <v>Capital invested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'Invested vs Returns'!$D$5:$L$5</f>
            </numRef>
          </cat>
          <val>
            <numRef>
              <f>'Invested vs Returns'!$D$14:$L$14</f>
            </numRef>
          </val>
          <smooth val="0"/>
        </ser>
        <ser>
          <idx val="1"/>
          <order val="1"/>
          <tx>
            <v>Portfolio value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'Invested vs Returns'!$D$5:$L$5</f>
            </numRef>
          </cat>
          <val>
            <numRef>
              <f>'Invested vs Returns'!$D$40:$L$40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Balance rebuild</author>
  </authors>
  <commentList>
    <comment ref="D4" authorId="0" shapeId="0">
      <text>
        <t>Source: Notion Accounts Database → 'Starting Balance (as of January 1st 2026)'.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24</row>
      <rowOff>0</rowOff>
    </from>
    <ext cx="936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56</row>
      <rowOff>0</rowOff>
    </from>
    <ext cx="86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Personal Finance Tracker — Account Balances 2026</t>
        </is>
      </c>
    </row>
    <row r="3">
      <c r="B3" s="2" t="inlineStr">
        <is>
          <t>Rebuilt from the Notion databases (Accounts, Income, Expenses, Transfers) on 2026-08-09.</t>
        </is>
      </c>
    </row>
    <row r="4">
      <c r="B4" t="inlineStr"/>
    </row>
    <row r="5">
      <c r="B5" s="3" t="inlineStr">
        <is>
          <t>What is in this file</t>
        </is>
      </c>
    </row>
    <row r="6">
      <c r="B6" s="4" t="inlineStr">
        <is>
          <t>Monthly Flows       — one row per account per month: income, expenses, transfers in, transfers out.</t>
        </is>
      </c>
    </row>
    <row r="7">
      <c r="B7" s="4" t="inlineStr">
        <is>
          <t xml:space="preserve">                      These are the only hardcoded numbers in the workbook (shown in blue).</t>
        </is>
      </c>
    </row>
    <row r="8">
      <c r="B8" s="4" t="inlineStr">
        <is>
          <t>Balances            — end-of-month balance per account, built with formulas from Monthly Flows.</t>
        </is>
      </c>
    </row>
    <row r="9">
      <c r="B9" s="4" t="inlineStr">
        <is>
          <t>Investment Flows    — the same transfers split into capital you added vs. returns the market gave.</t>
        </is>
      </c>
    </row>
    <row r="10">
      <c r="B10" s="4" t="inlineStr">
        <is>
          <t>Invested vs Returns — capital, cumulative return and value per investment account, plus the</t>
        </is>
      </c>
    </row>
    <row r="11">
      <c r="B11" s="4" t="inlineStr">
        <is>
          <t xml:space="preserve">                      money-weighted return. Value is checked against the Balances sheet.</t>
        </is>
      </c>
    </row>
    <row r="12">
      <c r="B12" s="4" t="inlineStr">
        <is>
          <t>Charts              — net worth, every account, and capital vs. portfolio value.</t>
        </is>
      </c>
    </row>
    <row r="13">
      <c r="B13" t="inlineStr"/>
    </row>
    <row r="14">
      <c r="B14" s="3" t="inlineStr">
        <is>
          <t>How a balance is calculated</t>
        </is>
      </c>
    </row>
    <row r="15">
      <c r="B15" s="4" t="inlineStr">
        <is>
          <t>Balance(account, month) = Balance(account, previous month) + income - expenses</t>
        </is>
      </c>
    </row>
    <row r="16">
      <c r="B16" s="4" t="inlineStr">
        <is>
          <t xml:space="preserve">                          + transfers in - transfers out</t>
        </is>
      </c>
    </row>
    <row r="17">
      <c r="B17" s="4" t="inlineStr">
        <is>
          <t>January starts from the 'Starting Balance (as of January 1st 2026)' field in the Notion Accounts database.</t>
        </is>
      </c>
    </row>
    <row r="18">
      <c r="B18" t="inlineStr"/>
    </row>
    <row r="19">
      <c r="B19" s="3" t="inlineStr">
        <is>
          <t>Assumptions and things worth knowing</t>
        </is>
      </c>
    </row>
    <row r="20">
      <c r="B20" s="4" t="inlineStr">
        <is>
          <t>1. Every expense row in Notion is marked Paid and every transfer row is marked Executed, so nothing</t>
        </is>
      </c>
    </row>
    <row r="21">
      <c r="B21" s="4" t="inlineStr">
        <is>
          <t xml:space="preserve">   is filtered out by status.</t>
        </is>
      </c>
    </row>
    <row r="22">
      <c r="B22" s="4" t="inlineStr">
        <is>
          <t>2. Transfers with an empty From Account are money arriving from outside the tracker (e.g. family</t>
        </is>
      </c>
    </row>
    <row r="23">
      <c r="B23" s="4" t="inlineStr">
        <is>
          <t xml:space="preserve">   transfers); transfers with an empty To Account are money leaving it. Both are counted one-sided.</t>
        </is>
      </c>
    </row>
    <row r="24">
      <c r="B24" s="4" t="inlineStr">
        <is>
          <t>3. Two transfers — 'Investimentos - Trading 212' (29 Jun, €100 in) and 'Reembolso - Trading 212'</t>
        </is>
      </c>
    </row>
    <row r="25">
      <c r="B25" s="4" t="inlineStr">
        <is>
          <t xml:space="preserve">   (6 Jul, €100 out) — are each tagged to BOTH Trading 212 and Robinhood in Notion. They are</t>
        </is>
      </c>
    </row>
    <row r="26">
      <c r="B26" s="4" t="inlineStr">
        <is>
          <t xml:space="preserve">   attributed here to Trading 212, which both descriptions name. They cancel out, so no account's</t>
        </is>
      </c>
    </row>
    <row r="27">
      <c r="B27" s="4" t="inlineStr">
        <is>
          <t xml:space="preserve">   end balance is affected — only the Jun/Jul split for those two accounts.</t>
        </is>
      </c>
    </row>
    <row r="28">
      <c r="B28" s="4" t="inlineStr">
        <is>
          <t>4. Investment accounts track contributed cash, not market value: the tracker records transfers in</t>
        </is>
      </c>
    </row>
    <row r="29">
      <c r="B29" s="4" t="inlineStr">
        <is>
          <t xml:space="preserve">   and out, not price movements. Trade Republic Inv. - Brokerage in particular is 'money put in'.</t>
        </is>
      </c>
    </row>
    <row r="30">
      <c r="B30" s="4" t="inlineStr">
        <is>
          <t>5. August 2026 is partial — the last transaction in Notion is dated 5 August 2026.</t>
        </is>
      </c>
    </row>
    <row r="31">
      <c r="B31" s="4" t="inlineStr">
        <is>
          <t>6. Revolut shows a small negative balance in Jan (-€19.36) and May (-€15.48). That points to a</t>
        </is>
      </c>
    </row>
    <row r="32">
      <c r="B32" s="4" t="inlineStr">
        <is>
          <t xml:space="preserve">   missing or mis-dated top-up in Notion rather than a real overdraft.</t>
        </is>
      </c>
    </row>
    <row r="33">
      <c r="B33" t="inlineStr"/>
    </row>
    <row r="34">
      <c r="B34" s="3" t="inlineStr">
        <is>
          <t>Editing this file</t>
        </is>
      </c>
    </row>
    <row r="35">
      <c r="B35" s="4" t="inlineStr">
        <is>
          <t>Change or add rows on Monthly Flows only. Blue = type over it. Black = formula, leave alone.</t>
        </is>
      </c>
    </row>
    <row r="36">
      <c r="B36" s="4" t="inlineStr">
        <is>
          <t>Green = a link to another sheet. Balances and both charts update automatically.</t>
        </is>
      </c>
    </row>
    <row r="37">
      <c r="B37" s="4" t="inlineStr">
        <is>
          <t>To add a month, add its rows to Monthly Flows and insert a column on Balances copying the pattern.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3" customWidth="1" min="3" max="3"/>
    <col width="13" customWidth="1" min="4" max="4"/>
    <col width="15" customWidth="1" min="5" max="5"/>
    <col width="16" customWidth="1" min="6" max="6"/>
    <col width="15" customWidth="1" min="7" max="7"/>
  </cols>
  <sheetData>
    <row r="1">
      <c r="A1" s="1" t="inlineStr">
        <is>
          <t>Monthly Flows — source data (blue cells are inputs)</t>
        </is>
      </c>
    </row>
    <row r="2">
      <c r="A2" s="2" t="inlineStr">
        <is>
          <t>One row per account per month. Only months with activity are listed. Source: Notion Income / Expenses / Transfer databases.</t>
        </is>
      </c>
    </row>
    <row r="4">
      <c r="A4" s="5" t="inlineStr">
        <is>
          <t>Account</t>
        </is>
      </c>
      <c r="B4" s="5" t="inlineStr">
        <is>
          <t>Month</t>
        </is>
      </c>
      <c r="C4" s="5" t="inlineStr">
        <is>
          <t>Income (€)</t>
        </is>
      </c>
      <c r="D4" s="5" t="inlineStr">
        <is>
          <t>Expenses (€)</t>
        </is>
      </c>
      <c r="E4" s="5" t="inlineStr">
        <is>
          <t>Transfers In (€)</t>
        </is>
      </c>
      <c r="F4" s="5" t="inlineStr">
        <is>
          <t>Transfers Out (€)</t>
        </is>
      </c>
      <c r="G4" s="5" t="inlineStr">
        <is>
          <t>Net Change (€)</t>
        </is>
      </c>
    </row>
    <row r="5">
      <c r="A5" s="4" t="inlineStr">
        <is>
          <t>Conta Bolsas</t>
        </is>
      </c>
      <c r="B5" s="4" t="inlineStr">
        <is>
          <t>2026-03</t>
        </is>
      </c>
      <c r="C5" s="6" t="n">
        <v>0</v>
      </c>
      <c r="D5" s="6" t="n">
        <v>0</v>
      </c>
      <c r="E5" s="6" t="n">
        <v>4</v>
      </c>
      <c r="F5" s="6" t="n">
        <v>4</v>
      </c>
      <c r="G5" s="7">
        <f>C5-D5+E5-F5</f>
        <v/>
      </c>
    </row>
    <row r="6">
      <c r="A6" s="4" t="inlineStr">
        <is>
          <t>Conta Corrente</t>
        </is>
      </c>
      <c r="B6" s="4" t="inlineStr">
        <is>
          <t>2026-01</t>
        </is>
      </c>
      <c r="C6" s="6" t="n">
        <v>330</v>
      </c>
      <c r="D6" s="6" t="n">
        <v>1863.43</v>
      </c>
      <c r="E6" s="6" t="n">
        <v>4114.7</v>
      </c>
      <c r="F6" s="6" t="n">
        <v>1786.16</v>
      </c>
      <c r="G6" s="7">
        <f>C6-D6+E6-F6</f>
        <v/>
      </c>
    </row>
    <row r="7">
      <c r="A7" s="4" t="inlineStr">
        <is>
          <t>Conta Corrente</t>
        </is>
      </c>
      <c r="B7" s="4" t="inlineStr">
        <is>
          <t>2026-02</t>
        </is>
      </c>
      <c r="C7" s="6" t="n">
        <v>6928.7</v>
      </c>
      <c r="D7" s="6" t="n">
        <v>2955.16</v>
      </c>
      <c r="E7" s="6" t="n">
        <v>2821.54</v>
      </c>
      <c r="F7" s="6" t="n">
        <v>1315.24</v>
      </c>
      <c r="G7" s="7">
        <f>C7-D7+E7-F7</f>
        <v/>
      </c>
    </row>
    <row r="8">
      <c r="A8" s="4" t="inlineStr">
        <is>
          <t>Conta Corrente</t>
        </is>
      </c>
      <c r="B8" s="4" t="inlineStr">
        <is>
          <t>2026-03</t>
        </is>
      </c>
      <c r="C8" s="6" t="n">
        <v>3402.11</v>
      </c>
      <c r="D8" s="6" t="n">
        <v>811.12</v>
      </c>
      <c r="E8" s="6" t="n">
        <v>4</v>
      </c>
      <c r="F8" s="6" t="n">
        <v>3207.48</v>
      </c>
      <c r="G8" s="7">
        <f>C8-D8+E8-F8</f>
        <v/>
      </c>
    </row>
    <row r="9">
      <c r="A9" s="4" t="inlineStr">
        <is>
          <t>Conta Corrente</t>
        </is>
      </c>
      <c r="B9" s="4" t="inlineStr">
        <is>
          <t>2026-04</t>
        </is>
      </c>
      <c r="C9" s="6" t="n">
        <v>5012.96</v>
      </c>
      <c r="D9" s="6" t="n">
        <v>552.79</v>
      </c>
      <c r="E9" s="6" t="n">
        <v>0.45</v>
      </c>
      <c r="F9" s="6" t="n">
        <v>2454.3</v>
      </c>
      <c r="G9" s="7">
        <f>C9-D9+E9-F9</f>
        <v/>
      </c>
    </row>
    <row r="10">
      <c r="A10" s="4" t="inlineStr">
        <is>
          <t>Conta Corrente</t>
        </is>
      </c>
      <c r="B10" s="4" t="inlineStr">
        <is>
          <t>2026-05</t>
        </is>
      </c>
      <c r="C10" s="6" t="n">
        <v>3499.29</v>
      </c>
      <c r="D10" s="6" t="n">
        <v>970.97</v>
      </c>
      <c r="E10" s="6" t="n">
        <v>28.46</v>
      </c>
      <c r="F10" s="6" t="n">
        <v>4775.9</v>
      </c>
      <c r="G10" s="7">
        <f>C10-D10+E10-F10</f>
        <v/>
      </c>
    </row>
    <row r="11">
      <c r="A11" s="4" t="inlineStr">
        <is>
          <t>Conta Corrente</t>
        </is>
      </c>
      <c r="B11" s="4" t="inlineStr">
        <is>
          <t>2026-06</t>
        </is>
      </c>
      <c r="C11" s="6" t="n">
        <v>3499.29</v>
      </c>
      <c r="D11" s="6" t="n">
        <v>940.35</v>
      </c>
      <c r="E11" s="6" t="n">
        <v>1011.87</v>
      </c>
      <c r="F11" s="6" t="n">
        <v>7742.35</v>
      </c>
      <c r="G11" s="7">
        <f>C11-D11+E11-F11</f>
        <v/>
      </c>
    </row>
    <row r="12">
      <c r="A12" s="4" t="inlineStr">
        <is>
          <t>Conta Corrente</t>
        </is>
      </c>
      <c r="B12" s="4" t="inlineStr">
        <is>
          <t>2026-07</t>
        </is>
      </c>
      <c r="C12" s="6" t="n">
        <v>2446.4</v>
      </c>
      <c r="D12" s="6" t="n">
        <v>954.4</v>
      </c>
      <c r="E12" s="6" t="n">
        <v>252.26</v>
      </c>
      <c r="F12" s="6" t="n">
        <v>2470.71</v>
      </c>
      <c r="G12" s="7">
        <f>C12-D12+E12-F12</f>
        <v/>
      </c>
    </row>
    <row r="13">
      <c r="A13" s="4" t="inlineStr">
        <is>
          <t>Conta Corrente</t>
        </is>
      </c>
      <c r="B13" s="4" t="inlineStr">
        <is>
          <t>2026-08</t>
        </is>
      </c>
      <c r="C13" s="6" t="n">
        <v>0</v>
      </c>
      <c r="D13" s="6" t="n">
        <v>895</v>
      </c>
      <c r="E13" s="6" t="n">
        <v>1850</v>
      </c>
      <c r="F13" s="6" t="n">
        <v>1751.3</v>
      </c>
      <c r="G13" s="7">
        <f>C13-D13+E13-F13</f>
        <v/>
      </c>
    </row>
    <row r="14">
      <c r="A14" s="4" t="inlineStr">
        <is>
          <t>Conta Poupança</t>
        </is>
      </c>
      <c r="B14" s="4" t="inlineStr">
        <is>
          <t>2026-01</t>
        </is>
      </c>
      <c r="C14" s="6" t="n">
        <v>0</v>
      </c>
      <c r="D14" s="6" t="n">
        <v>0</v>
      </c>
      <c r="E14" s="6" t="n">
        <v>5</v>
      </c>
      <c r="F14" s="6" t="n">
        <v>1600</v>
      </c>
      <c r="G14" s="7">
        <f>C14-D14+E14-F14</f>
        <v/>
      </c>
    </row>
    <row r="15">
      <c r="A15" s="4" t="inlineStr">
        <is>
          <t>Conta Poupança</t>
        </is>
      </c>
      <c r="B15" s="4" t="inlineStr">
        <is>
          <t>2026-02</t>
        </is>
      </c>
      <c r="C15" s="6" t="n">
        <v>0</v>
      </c>
      <c r="D15" s="6" t="n">
        <v>0</v>
      </c>
      <c r="E15" s="6" t="n">
        <v>5</v>
      </c>
      <c r="F15" s="6" t="n">
        <v>1010.24</v>
      </c>
      <c r="G15" s="7">
        <f>C15-D15+E15-F15</f>
        <v/>
      </c>
    </row>
    <row r="16">
      <c r="A16" s="4" t="inlineStr">
        <is>
          <t>Conta Poupança</t>
        </is>
      </c>
      <c r="B16" s="4" t="inlineStr">
        <is>
          <t>2026-03</t>
        </is>
      </c>
      <c r="C16" s="6" t="n">
        <v>0</v>
      </c>
      <c r="D16" s="6" t="n">
        <v>0</v>
      </c>
      <c r="E16" s="6" t="n">
        <v>5</v>
      </c>
      <c r="F16" s="6" t="n">
        <v>0</v>
      </c>
      <c r="G16" s="7">
        <f>C16-D16+E16-F16</f>
        <v/>
      </c>
    </row>
    <row r="17">
      <c r="A17" s="4" t="inlineStr">
        <is>
          <t>Conta Poupança</t>
        </is>
      </c>
      <c r="B17" s="4" t="inlineStr">
        <is>
          <t>2026-04</t>
        </is>
      </c>
      <c r="C17" s="6" t="n">
        <v>0</v>
      </c>
      <c r="D17" s="6" t="n">
        <v>0</v>
      </c>
      <c r="E17" s="6" t="n">
        <v>5</v>
      </c>
      <c r="F17" s="6" t="n">
        <v>0</v>
      </c>
      <c r="G17" s="7">
        <f>C17-D17+E17-F17</f>
        <v/>
      </c>
    </row>
    <row r="18">
      <c r="A18" s="4" t="inlineStr">
        <is>
          <t>Conta Poupança</t>
        </is>
      </c>
      <c r="B18" s="4" t="inlineStr">
        <is>
          <t>2026-05</t>
        </is>
      </c>
      <c r="C18" s="6" t="n">
        <v>0</v>
      </c>
      <c r="D18" s="6" t="n">
        <v>0</v>
      </c>
      <c r="E18" s="6" t="n">
        <v>5</v>
      </c>
      <c r="F18" s="6" t="n">
        <v>0</v>
      </c>
      <c r="G18" s="7">
        <f>C18-D18+E18-F18</f>
        <v/>
      </c>
    </row>
    <row r="19">
      <c r="A19" s="4" t="inlineStr">
        <is>
          <t>Conta Poupança</t>
        </is>
      </c>
      <c r="B19" s="4" t="inlineStr">
        <is>
          <t>2026-06</t>
        </is>
      </c>
      <c r="C19" s="6" t="n">
        <v>0</v>
      </c>
      <c r="D19" s="6" t="n">
        <v>0</v>
      </c>
      <c r="E19" s="6" t="n">
        <v>5</v>
      </c>
      <c r="F19" s="6" t="n">
        <v>0</v>
      </c>
      <c r="G19" s="7">
        <f>C19-D19+E19-F19</f>
        <v/>
      </c>
    </row>
    <row r="20">
      <c r="A20" s="4" t="inlineStr">
        <is>
          <t>Conta Poupança</t>
        </is>
      </c>
      <c r="B20" s="4" t="inlineStr">
        <is>
          <t>2026-07</t>
        </is>
      </c>
      <c r="C20" s="6" t="n">
        <v>0</v>
      </c>
      <c r="D20" s="6" t="n">
        <v>0</v>
      </c>
      <c r="E20" s="6" t="n">
        <v>5</v>
      </c>
      <c r="F20" s="6" t="n">
        <v>20</v>
      </c>
      <c r="G20" s="7">
        <f>C20-D20+E20-F20</f>
        <v/>
      </c>
    </row>
    <row r="21">
      <c r="A21" s="4" t="inlineStr">
        <is>
          <t>Conta Poupança</t>
        </is>
      </c>
      <c r="B21" s="4" t="inlineStr">
        <is>
          <t>2026-08</t>
        </is>
      </c>
      <c r="C21" s="6" t="n">
        <v>0</v>
      </c>
      <c r="D21" s="6" t="n">
        <v>0</v>
      </c>
      <c r="E21" s="6" t="n">
        <v>1851.19</v>
      </c>
      <c r="F21" s="6" t="n">
        <v>1850</v>
      </c>
      <c r="G21" s="7">
        <f>C21-D21+E21-F21</f>
        <v/>
      </c>
    </row>
    <row r="22">
      <c r="A22" s="4" t="inlineStr">
        <is>
          <t>PayPal</t>
        </is>
      </c>
      <c r="B22" s="4" t="inlineStr">
        <is>
          <t>2026-01</t>
        </is>
      </c>
      <c r="C22" s="6" t="n">
        <v>0</v>
      </c>
      <c r="D22" s="6" t="n">
        <v>0</v>
      </c>
      <c r="E22" s="6" t="n">
        <v>5</v>
      </c>
      <c r="F22" s="6" t="n">
        <v>5</v>
      </c>
      <c r="G22" s="7">
        <f>C22-D22+E22-F22</f>
        <v/>
      </c>
    </row>
    <row r="23">
      <c r="A23" s="4" t="inlineStr">
        <is>
          <t>PayPal</t>
        </is>
      </c>
      <c r="B23" s="4" t="inlineStr">
        <is>
          <t>2026-03</t>
        </is>
      </c>
      <c r="C23" s="6" t="n">
        <v>0</v>
      </c>
      <c r="D23" s="6" t="n">
        <v>0</v>
      </c>
      <c r="E23" s="6" t="n">
        <v>99.03</v>
      </c>
      <c r="F23" s="6" t="n">
        <v>40.99</v>
      </c>
      <c r="G23" s="7">
        <f>C23-D23+E23-F23</f>
        <v/>
      </c>
    </row>
    <row r="24">
      <c r="A24" s="4" t="inlineStr">
        <is>
          <t>PayPal</t>
        </is>
      </c>
      <c r="B24" s="4" t="inlineStr">
        <is>
          <t>2026-05</t>
        </is>
      </c>
      <c r="C24" s="6" t="n">
        <v>0</v>
      </c>
      <c r="D24" s="6" t="n">
        <v>0</v>
      </c>
      <c r="E24" s="6" t="n">
        <v>17.76</v>
      </c>
      <c r="F24" s="6" t="n">
        <v>75.8</v>
      </c>
      <c r="G24" s="7">
        <f>C24-D24+E24-F24</f>
        <v/>
      </c>
    </row>
    <row r="25">
      <c r="A25" s="4" t="inlineStr">
        <is>
          <t>PayPal</t>
        </is>
      </c>
      <c r="B25" s="4" t="inlineStr">
        <is>
          <t>2026-06</t>
        </is>
      </c>
      <c r="C25" s="6" t="n">
        <v>0</v>
      </c>
      <c r="D25" s="6" t="n">
        <v>0</v>
      </c>
      <c r="E25" s="6" t="n">
        <v>23.46</v>
      </c>
      <c r="F25" s="6" t="n">
        <v>23.46</v>
      </c>
      <c r="G25" s="7">
        <f>C25-D25+E25-F25</f>
        <v/>
      </c>
    </row>
    <row r="26">
      <c r="A26" s="4" t="inlineStr">
        <is>
          <t>PayPal</t>
        </is>
      </c>
      <c r="B26" s="4" t="inlineStr">
        <is>
          <t>2026-07</t>
        </is>
      </c>
      <c r="C26" s="6" t="n">
        <v>0</v>
      </c>
      <c r="D26" s="6" t="n">
        <v>0</v>
      </c>
      <c r="E26" s="6" t="n">
        <v>42.5</v>
      </c>
      <c r="F26" s="6" t="n">
        <v>42.5</v>
      </c>
      <c r="G26" s="7">
        <f>C26-D26+E26-F26</f>
        <v/>
      </c>
    </row>
    <row r="27">
      <c r="A27" s="4" t="inlineStr">
        <is>
          <t>Revolut</t>
        </is>
      </c>
      <c r="B27" s="4" t="inlineStr">
        <is>
          <t>2026-01</t>
        </is>
      </c>
      <c r="C27" s="6" t="n">
        <v>0</v>
      </c>
      <c r="D27" s="6" t="n">
        <v>1795.52</v>
      </c>
      <c r="E27" s="6" t="n">
        <v>1781.16</v>
      </c>
      <c r="F27" s="6" t="n">
        <v>5</v>
      </c>
      <c r="G27" s="7">
        <f>C27-D27+E27-F27</f>
        <v/>
      </c>
    </row>
    <row r="28">
      <c r="A28" s="4" t="inlineStr">
        <is>
          <t>Revolut</t>
        </is>
      </c>
      <c r="B28" s="4" t="inlineStr">
        <is>
          <t>2026-02</t>
        </is>
      </c>
      <c r="C28" s="6" t="n">
        <v>0</v>
      </c>
      <c r="D28" s="6" t="n">
        <v>987.6900000000001</v>
      </c>
      <c r="E28" s="6" t="n">
        <v>1007.63</v>
      </c>
      <c r="F28" s="6" t="n">
        <v>0</v>
      </c>
      <c r="G28" s="7">
        <f>C28-D28+E28-F28</f>
        <v/>
      </c>
    </row>
    <row r="29">
      <c r="A29" s="4" t="inlineStr">
        <is>
          <t>Revolut</t>
        </is>
      </c>
      <c r="B29" s="4" t="inlineStr">
        <is>
          <t>2026-03</t>
        </is>
      </c>
      <c r="C29" s="6" t="n">
        <v>0</v>
      </c>
      <c r="D29" s="6" t="n">
        <v>648.8200000000001</v>
      </c>
      <c r="E29" s="6" t="n">
        <v>1731.48</v>
      </c>
      <c r="F29" s="6" t="n">
        <v>106.58</v>
      </c>
      <c r="G29" s="7">
        <f>C29-D29+E29-F29</f>
        <v/>
      </c>
    </row>
    <row r="30">
      <c r="A30" s="4" t="inlineStr">
        <is>
          <t>Revolut</t>
        </is>
      </c>
      <c r="B30" s="4" t="inlineStr">
        <is>
          <t>2026-04</t>
        </is>
      </c>
      <c r="C30" s="6" t="n">
        <v>0</v>
      </c>
      <c r="D30" s="6" t="n">
        <v>638.08</v>
      </c>
      <c r="E30" s="6" t="n">
        <v>39.43</v>
      </c>
      <c r="F30" s="6" t="n">
        <v>17</v>
      </c>
      <c r="G30" s="7">
        <f>C30-D30+E30-F30</f>
        <v/>
      </c>
    </row>
    <row r="31">
      <c r="A31" s="4" t="inlineStr">
        <is>
          <t>Revolut</t>
        </is>
      </c>
      <c r="B31" s="4" t="inlineStr">
        <is>
          <t>2026-05</t>
        </is>
      </c>
      <c r="C31" s="6" t="n">
        <v>0</v>
      </c>
      <c r="D31" s="6" t="n">
        <v>586.02</v>
      </c>
      <c r="E31" s="6" t="n">
        <v>307.29</v>
      </c>
      <c r="F31" s="6" t="n">
        <v>97.76000000000001</v>
      </c>
      <c r="G31" s="7">
        <f>C31-D31+E31-F31</f>
        <v/>
      </c>
    </row>
    <row r="32">
      <c r="A32" s="4" t="inlineStr">
        <is>
          <t>Revolut</t>
        </is>
      </c>
      <c r="B32" s="4" t="inlineStr">
        <is>
          <t>2026-06</t>
        </is>
      </c>
      <c r="C32" s="6" t="n">
        <v>0</v>
      </c>
      <c r="D32" s="6" t="n">
        <v>308.23</v>
      </c>
      <c r="E32" s="6" t="n">
        <v>1815</v>
      </c>
      <c r="F32" s="6" t="n">
        <v>1454.53</v>
      </c>
      <c r="G32" s="7">
        <f>C32-D32+E32-F32</f>
        <v/>
      </c>
    </row>
    <row r="33">
      <c r="A33" s="4" t="inlineStr">
        <is>
          <t>Revolut</t>
        </is>
      </c>
      <c r="B33" s="4" t="inlineStr">
        <is>
          <t>2026-07</t>
        </is>
      </c>
      <c r="C33" s="6" t="n">
        <v>0</v>
      </c>
      <c r="D33" s="6" t="n">
        <v>310.9</v>
      </c>
      <c r="E33" s="6" t="n">
        <v>959</v>
      </c>
      <c r="F33" s="6" t="n">
        <v>673.5</v>
      </c>
      <c r="G33" s="7">
        <f>C33-D33+E33-F33</f>
        <v/>
      </c>
    </row>
    <row r="34">
      <c r="A34" s="4" t="inlineStr">
        <is>
          <t>Revolut</t>
        </is>
      </c>
      <c r="B34" s="4" t="inlineStr">
        <is>
          <t>2026-08</t>
        </is>
      </c>
      <c r="C34" s="6" t="n">
        <v>0</v>
      </c>
      <c r="D34" s="6" t="n">
        <v>102.02</v>
      </c>
      <c r="E34" s="6" t="n">
        <v>531</v>
      </c>
      <c r="F34" s="6" t="n">
        <v>371</v>
      </c>
      <c r="G34" s="7">
        <f>C34-D34+E34-F34</f>
        <v/>
      </c>
    </row>
    <row r="35">
      <c r="A35" s="4" t="inlineStr">
        <is>
          <t>Trade Republic Account</t>
        </is>
      </c>
      <c r="B35" s="4" t="inlineStr">
        <is>
          <t>2026-01</t>
        </is>
      </c>
      <c r="C35" s="6" t="n">
        <v>0</v>
      </c>
      <c r="D35" s="6" t="n">
        <v>0</v>
      </c>
      <c r="E35" s="6" t="n">
        <v>0.76</v>
      </c>
      <c r="F35" s="6" t="n">
        <v>341</v>
      </c>
      <c r="G35" s="7">
        <f>C35-D35+E35-F35</f>
        <v/>
      </c>
    </row>
    <row r="36">
      <c r="A36" s="4" t="inlineStr">
        <is>
          <t>Trade Republic Account</t>
        </is>
      </c>
      <c r="B36" s="4" t="inlineStr">
        <is>
          <t>2026-02</t>
        </is>
      </c>
      <c r="C36" s="6" t="n">
        <v>0</v>
      </c>
      <c r="D36" s="6" t="n">
        <v>0</v>
      </c>
      <c r="E36" s="6" t="n">
        <v>303.32</v>
      </c>
      <c r="F36" s="6" t="n">
        <v>0</v>
      </c>
      <c r="G36" s="7">
        <f>C36-D36+E36-F36</f>
        <v/>
      </c>
    </row>
    <row r="37">
      <c r="A37" s="4" t="inlineStr">
        <is>
          <t>Trade Republic Account</t>
        </is>
      </c>
      <c r="B37" s="4" t="inlineStr">
        <is>
          <t>2026-03</t>
        </is>
      </c>
      <c r="C37" s="6" t="n">
        <v>0</v>
      </c>
      <c r="D37" s="6" t="n">
        <v>302.75</v>
      </c>
      <c r="E37" s="6" t="n">
        <v>2480.52</v>
      </c>
      <c r="F37" s="6" t="n">
        <v>1385</v>
      </c>
      <c r="G37" s="7">
        <f>C37-D37+E37-F37</f>
        <v/>
      </c>
    </row>
    <row r="38">
      <c r="A38" s="4" t="inlineStr">
        <is>
          <t>Trade Republic Account</t>
        </is>
      </c>
      <c r="B38" s="4" t="inlineStr">
        <is>
          <t>2026-04</t>
        </is>
      </c>
      <c r="C38" s="6" t="n">
        <v>0</v>
      </c>
      <c r="D38" s="6" t="n">
        <v>361.93</v>
      </c>
      <c r="E38" s="6" t="n">
        <v>2444.5</v>
      </c>
      <c r="F38" s="6" t="n">
        <v>2308.53</v>
      </c>
      <c r="G38" s="7">
        <f>C38-D38+E38-F38</f>
        <v/>
      </c>
    </row>
    <row r="39">
      <c r="A39" s="4" t="inlineStr">
        <is>
          <t>Trade Republic Account</t>
        </is>
      </c>
      <c r="B39" s="4" t="inlineStr">
        <is>
          <t>2026-05</t>
        </is>
      </c>
      <c r="C39" s="6" t="n">
        <v>0</v>
      </c>
      <c r="D39" s="6" t="n">
        <v>1021.65</v>
      </c>
      <c r="E39" s="6" t="n">
        <v>4505.95</v>
      </c>
      <c r="F39" s="6" t="n">
        <v>3424.57</v>
      </c>
      <c r="G39" s="7">
        <f>C39-D39+E39-F39</f>
        <v/>
      </c>
    </row>
    <row r="40">
      <c r="A40" s="4" t="inlineStr">
        <is>
          <t>Trade Republic Account</t>
        </is>
      </c>
      <c r="B40" s="4" t="inlineStr">
        <is>
          <t>2026-06</t>
        </is>
      </c>
      <c r="C40" s="6" t="n">
        <v>0</v>
      </c>
      <c r="D40" s="6" t="n">
        <v>1599.89</v>
      </c>
      <c r="E40" s="6" t="n">
        <v>4038.74</v>
      </c>
      <c r="F40" s="6" t="n">
        <v>2375.52</v>
      </c>
      <c r="G40" s="7">
        <f>C40-D40+E40-F40</f>
        <v/>
      </c>
    </row>
    <row r="41">
      <c r="A41" s="4" t="inlineStr">
        <is>
          <t>Trade Republic Account</t>
        </is>
      </c>
      <c r="B41" s="4" t="inlineStr">
        <is>
          <t>2026-07</t>
        </is>
      </c>
      <c r="C41" s="6" t="n">
        <v>0</v>
      </c>
      <c r="D41" s="6" t="n">
        <v>227.93</v>
      </c>
      <c r="E41" s="6" t="n">
        <v>1337.25</v>
      </c>
      <c r="F41" s="6" t="n">
        <v>1983.58</v>
      </c>
      <c r="G41" s="7">
        <f>C41-D41+E41-F41</f>
        <v/>
      </c>
    </row>
    <row r="42">
      <c r="A42" s="4" t="inlineStr">
        <is>
          <t>Trade Republic Account</t>
        </is>
      </c>
      <c r="B42" s="4" t="inlineStr">
        <is>
          <t>2026-08</t>
        </is>
      </c>
      <c r="C42" s="6" t="n">
        <v>0</v>
      </c>
      <c r="D42" s="6" t="n">
        <v>357.08</v>
      </c>
      <c r="E42" s="6" t="n">
        <v>1526.55</v>
      </c>
      <c r="F42" s="6" t="n">
        <v>965.97</v>
      </c>
      <c r="G42" s="7">
        <f>C42-D42+E42-F42</f>
        <v/>
      </c>
    </row>
    <row r="43">
      <c r="A43" s="4" t="inlineStr">
        <is>
          <t>Cash Withdrawls</t>
        </is>
      </c>
      <c r="B43" s="4" t="inlineStr">
        <is>
          <t>2026-02</t>
        </is>
      </c>
      <c r="C43" s="6" t="n">
        <v>0</v>
      </c>
      <c r="D43" s="6" t="n">
        <v>0</v>
      </c>
      <c r="E43" s="6" t="n">
        <v>10</v>
      </c>
      <c r="F43" s="6" t="n">
        <v>0</v>
      </c>
      <c r="G43" s="7">
        <f>C43-D43+E43-F43</f>
        <v/>
      </c>
    </row>
    <row r="44">
      <c r="A44" s="4" t="inlineStr">
        <is>
          <t>Cash Withdrawls</t>
        </is>
      </c>
      <c r="B44" s="4" t="inlineStr">
        <is>
          <t>2026-03</t>
        </is>
      </c>
      <c r="C44" s="6" t="n">
        <v>0</v>
      </c>
      <c r="D44" s="6" t="n">
        <v>45.89</v>
      </c>
      <c r="E44" s="6" t="n">
        <v>45.99</v>
      </c>
      <c r="F44" s="6" t="n">
        <v>0</v>
      </c>
      <c r="G44" s="7">
        <f>C44-D44+E44-F44</f>
        <v/>
      </c>
    </row>
    <row r="45">
      <c r="A45" s="4" t="inlineStr">
        <is>
          <t>Cash Withdrawls</t>
        </is>
      </c>
      <c r="B45" s="4" t="inlineStr">
        <is>
          <t>2026-04</t>
        </is>
      </c>
      <c r="C45" s="6" t="n">
        <v>0</v>
      </c>
      <c r="D45" s="6" t="n">
        <v>0</v>
      </c>
      <c r="E45" s="6" t="n">
        <v>0</v>
      </c>
      <c r="F45" s="6" t="n">
        <v>6.89</v>
      </c>
      <c r="G45" s="7">
        <f>C45-D45+E45-F45</f>
        <v/>
      </c>
    </row>
    <row r="46">
      <c r="A46" s="4" t="inlineStr">
        <is>
          <t>Cash Withdrawls</t>
        </is>
      </c>
      <c r="B46" s="4" t="inlineStr">
        <is>
          <t>2026-05</t>
        </is>
      </c>
      <c r="C46" s="6" t="n">
        <v>0</v>
      </c>
      <c r="D46" s="6" t="n">
        <v>0</v>
      </c>
      <c r="E46" s="6" t="n">
        <v>0</v>
      </c>
      <c r="F46" s="6" t="n">
        <v>1.99</v>
      </c>
      <c r="G46" s="7">
        <f>C46-D46+E46-F46</f>
        <v/>
      </c>
    </row>
    <row r="47">
      <c r="A47" s="4" t="inlineStr">
        <is>
          <t>Certificados de Aforro CTT - Série E</t>
        </is>
      </c>
      <c r="B47" s="4" t="inlineStr">
        <is>
          <t>2026-02</t>
        </is>
      </c>
      <c r="C47" s="6" t="n">
        <v>0</v>
      </c>
      <c r="D47" s="6" t="n">
        <v>0</v>
      </c>
      <c r="E47" s="6" t="n">
        <v>3.37</v>
      </c>
      <c r="F47" s="6" t="n">
        <v>0</v>
      </c>
      <c r="G47" s="7">
        <f>C47-D47+E47-F47</f>
        <v/>
      </c>
    </row>
    <row r="48">
      <c r="A48" s="4" t="inlineStr">
        <is>
          <t>Certificados de Aforro CTT - Série E</t>
        </is>
      </c>
      <c r="B48" s="4" t="inlineStr">
        <is>
          <t>2026-05</t>
        </is>
      </c>
      <c r="C48" s="6" t="n">
        <v>0</v>
      </c>
      <c r="D48" s="6" t="n">
        <v>0</v>
      </c>
      <c r="E48" s="6" t="n">
        <v>3.44</v>
      </c>
      <c r="F48" s="6" t="n">
        <v>0</v>
      </c>
      <c r="G48" s="7">
        <f>C48-D48+E48-F48</f>
        <v/>
      </c>
    </row>
    <row r="49">
      <c r="A49" s="4" t="inlineStr">
        <is>
          <t>Certificados de Aforro CTT - Série F</t>
        </is>
      </c>
      <c r="B49" s="4" t="inlineStr">
        <is>
          <t>2026-02</t>
        </is>
      </c>
      <c r="C49" s="6" t="n">
        <v>0</v>
      </c>
      <c r="D49" s="6" t="n">
        <v>0</v>
      </c>
      <c r="E49" s="6" t="n">
        <v>20.9</v>
      </c>
      <c r="F49" s="6" t="n">
        <v>0</v>
      </c>
      <c r="G49" s="7">
        <f>C49-D49+E49-F49</f>
        <v/>
      </c>
    </row>
    <row r="50">
      <c r="A50" s="4" t="inlineStr">
        <is>
          <t>Certificados de Aforro CTT - Série F</t>
        </is>
      </c>
      <c r="B50" s="4" t="inlineStr">
        <is>
          <t>2026-04</t>
        </is>
      </c>
      <c r="C50" s="6" t="n">
        <v>0</v>
      </c>
      <c r="D50" s="6" t="n">
        <v>0</v>
      </c>
      <c r="E50" s="6" t="n">
        <v>1.57</v>
      </c>
      <c r="F50" s="6" t="n">
        <v>0</v>
      </c>
      <c r="G50" s="7">
        <f>C50-D50+E50-F50</f>
        <v/>
      </c>
    </row>
    <row r="51">
      <c r="A51" s="4" t="inlineStr">
        <is>
          <t>Certificados de Aforro CTT - Série F</t>
        </is>
      </c>
      <c r="B51" s="4" t="inlineStr">
        <is>
          <t>2026-05</t>
        </is>
      </c>
      <c r="C51" s="6" t="n">
        <v>0</v>
      </c>
      <c r="D51" s="6" t="n">
        <v>0</v>
      </c>
      <c r="E51" s="6" t="n">
        <v>21.3</v>
      </c>
      <c r="F51" s="6" t="n">
        <v>0</v>
      </c>
      <c r="G51" s="7">
        <f>C51-D51+E51-F51</f>
        <v/>
      </c>
    </row>
    <row r="52">
      <c r="A52" s="4" t="inlineStr">
        <is>
          <t>Certificados de Aforro CTT - Série F</t>
        </is>
      </c>
      <c r="B52" s="4" t="inlineStr">
        <is>
          <t>2026-08</t>
        </is>
      </c>
      <c r="C52" s="6" t="n">
        <v>0</v>
      </c>
      <c r="D52" s="6" t="n">
        <v>0</v>
      </c>
      <c r="E52" s="6" t="n">
        <v>0</v>
      </c>
      <c r="F52" s="6" t="n">
        <v>1851.19</v>
      </c>
      <c r="G52" s="7">
        <f>C52-D52+E52-F52</f>
        <v/>
      </c>
    </row>
    <row r="53">
      <c r="A53" s="4" t="inlineStr">
        <is>
          <t>Revolut - Fundo Emergência</t>
        </is>
      </c>
      <c r="B53" s="4" t="inlineStr">
        <is>
          <t>2026-06</t>
        </is>
      </c>
      <c r="C53" s="6" t="n">
        <v>0</v>
      </c>
      <c r="D53" s="6" t="n">
        <v>0</v>
      </c>
      <c r="E53" s="6" t="n">
        <v>750</v>
      </c>
      <c r="F53" s="6" t="n">
        <v>345</v>
      </c>
      <c r="G53" s="7">
        <f>C53-D53+E53-F53</f>
        <v/>
      </c>
    </row>
    <row r="54">
      <c r="A54" s="4" t="inlineStr">
        <is>
          <t>Revolut - Fundo Emergência</t>
        </is>
      </c>
      <c r="B54" s="4" t="inlineStr">
        <is>
          <t>2026-07</t>
        </is>
      </c>
      <c r="C54" s="6" t="n">
        <v>0</v>
      </c>
      <c r="D54" s="6" t="n">
        <v>0</v>
      </c>
      <c r="E54" s="6" t="n">
        <v>250.82</v>
      </c>
      <c r="F54" s="6" t="n">
        <v>209</v>
      </c>
      <c r="G54" s="7">
        <f>C54-D54+E54-F54</f>
        <v/>
      </c>
    </row>
    <row r="55">
      <c r="A55" s="4" t="inlineStr">
        <is>
          <t>Revolut - Fundo Emergência</t>
        </is>
      </c>
      <c r="B55" s="4" t="inlineStr">
        <is>
          <t>2026-08</t>
        </is>
      </c>
      <c r="C55" s="6" t="n">
        <v>0</v>
      </c>
      <c r="D55" s="6" t="n">
        <v>0</v>
      </c>
      <c r="E55" s="6" t="n">
        <v>0</v>
      </c>
      <c r="F55" s="6" t="n">
        <v>396</v>
      </c>
      <c r="G55" s="7">
        <f>C55-D55+E55-F55</f>
        <v/>
      </c>
    </row>
    <row r="56">
      <c r="A56" s="4" t="inlineStr">
        <is>
          <t>Revolut - Wealth Build</t>
        </is>
      </c>
      <c r="B56" s="4" t="inlineStr">
        <is>
          <t>2026-06</t>
        </is>
      </c>
      <c r="C56" s="6" t="n">
        <v>0</v>
      </c>
      <c r="D56" s="6" t="n">
        <v>0</v>
      </c>
      <c r="E56" s="6" t="n">
        <v>250</v>
      </c>
      <c r="F56" s="6" t="n">
        <v>0</v>
      </c>
      <c r="G56" s="7">
        <f>C56-D56+E56-F56</f>
        <v/>
      </c>
    </row>
    <row r="57">
      <c r="A57" s="4" t="inlineStr">
        <is>
          <t>Revolut - Wealth Build</t>
        </is>
      </c>
      <c r="B57" s="4" t="inlineStr">
        <is>
          <t>2026-07</t>
        </is>
      </c>
      <c r="C57" s="6" t="n">
        <v>0</v>
      </c>
      <c r="D57" s="6" t="n">
        <v>0</v>
      </c>
      <c r="E57" s="6" t="n">
        <v>250.54</v>
      </c>
      <c r="F57" s="6" t="n">
        <v>25</v>
      </c>
      <c r="G57" s="7">
        <f>C57-D57+E57-F57</f>
        <v/>
      </c>
    </row>
    <row r="58">
      <c r="A58" s="4" t="inlineStr">
        <is>
          <t>Revolut - Wealth Build</t>
        </is>
      </c>
      <c r="B58" s="4" t="inlineStr">
        <is>
          <t>2026-08</t>
        </is>
      </c>
      <c r="C58" s="6" t="n">
        <v>0</v>
      </c>
      <c r="D58" s="6" t="n">
        <v>0</v>
      </c>
      <c r="E58" s="6" t="n">
        <v>0</v>
      </c>
      <c r="F58" s="6" t="n">
        <v>35</v>
      </c>
      <c r="G58" s="7">
        <f>C58-D58+E58-F58</f>
        <v/>
      </c>
    </row>
    <row r="59">
      <c r="A59" s="4" t="inlineStr">
        <is>
          <t>Robinhood</t>
        </is>
      </c>
      <c r="B59" s="4" t="inlineStr">
        <is>
          <t>2026-07</t>
        </is>
      </c>
      <c r="C59" s="6" t="n">
        <v>0</v>
      </c>
      <c r="D59" s="6" t="n">
        <v>0</v>
      </c>
      <c r="E59" s="6" t="n">
        <v>50</v>
      </c>
      <c r="F59" s="6" t="n">
        <v>0</v>
      </c>
      <c r="G59" s="7">
        <f>C59-D59+E59-F59</f>
        <v/>
      </c>
    </row>
    <row r="60">
      <c r="A60" s="4" t="inlineStr">
        <is>
          <t>Robinhood</t>
        </is>
      </c>
      <c r="B60" s="4" t="inlineStr">
        <is>
          <t>2026-08</t>
        </is>
      </c>
      <c r="C60" s="6" t="n">
        <v>0</v>
      </c>
      <c r="D60" s="6" t="n">
        <v>0</v>
      </c>
      <c r="E60" s="6" t="n">
        <v>500</v>
      </c>
      <c r="F60" s="6" t="n">
        <v>0</v>
      </c>
      <c r="G60" s="7">
        <f>C60-D60+E60-F60</f>
        <v/>
      </c>
    </row>
    <row r="61">
      <c r="A61" s="4" t="inlineStr">
        <is>
          <t>Trade Republic Inv. - Brokerage</t>
        </is>
      </c>
      <c r="B61" s="4" t="inlineStr">
        <is>
          <t>2026-01</t>
        </is>
      </c>
      <c r="C61" s="6" t="n">
        <v>0</v>
      </c>
      <c r="D61" s="6" t="n">
        <v>0</v>
      </c>
      <c r="E61" s="6" t="n">
        <v>530.53</v>
      </c>
      <c r="F61" s="6" t="n">
        <v>0</v>
      </c>
      <c r="G61" s="7">
        <f>C61-D61+E61-F61</f>
        <v/>
      </c>
    </row>
    <row r="62">
      <c r="A62" s="4" t="inlineStr">
        <is>
          <t>Trade Republic Inv. - Brokerage</t>
        </is>
      </c>
      <c r="B62" s="4" t="inlineStr">
        <is>
          <t>2026-02</t>
        </is>
      </c>
      <c r="C62" s="6" t="n">
        <v>0</v>
      </c>
      <c r="D62" s="6" t="n">
        <v>0</v>
      </c>
      <c r="E62" s="6" t="n">
        <v>0.1</v>
      </c>
      <c r="F62" s="6" t="n">
        <v>0</v>
      </c>
      <c r="G62" s="7">
        <f>C62-D62+E62-F62</f>
        <v/>
      </c>
    </row>
    <row r="63">
      <c r="A63" s="4" t="inlineStr">
        <is>
          <t>Trade Republic Inv. - Brokerage</t>
        </is>
      </c>
      <c r="B63" s="4" t="inlineStr">
        <is>
          <t>2026-03</t>
        </is>
      </c>
      <c r="C63" s="6" t="n">
        <v>0</v>
      </c>
      <c r="D63" s="6" t="n">
        <v>0</v>
      </c>
      <c r="E63" s="6" t="n">
        <v>1385</v>
      </c>
      <c r="F63" s="6" t="n">
        <v>242.81</v>
      </c>
      <c r="G63" s="7">
        <f>C63-D63+E63-F63</f>
        <v/>
      </c>
    </row>
    <row r="64">
      <c r="A64" s="4" t="inlineStr">
        <is>
          <t>Trade Republic Inv. - Brokerage</t>
        </is>
      </c>
      <c r="B64" s="4" t="inlineStr">
        <is>
          <t>2026-04</t>
        </is>
      </c>
      <c r="C64" s="6" t="n">
        <v>0</v>
      </c>
      <c r="D64" s="6" t="n">
        <v>0</v>
      </c>
      <c r="E64" s="6" t="n">
        <v>2470.67</v>
      </c>
      <c r="F64" s="6" t="n">
        <v>0</v>
      </c>
      <c r="G64" s="7">
        <f>C64-D64+E64-F64</f>
        <v/>
      </c>
    </row>
    <row r="65">
      <c r="A65" s="4" t="inlineStr">
        <is>
          <t>Trade Republic Inv. - Brokerage</t>
        </is>
      </c>
      <c r="B65" s="4" t="inlineStr">
        <is>
          <t>2026-05</t>
        </is>
      </c>
      <c r="C65" s="6" t="n">
        <v>0</v>
      </c>
      <c r="D65" s="6" t="n">
        <v>0</v>
      </c>
      <c r="E65" s="6" t="n">
        <v>4076.67</v>
      </c>
      <c r="F65" s="6" t="n">
        <v>0</v>
      </c>
      <c r="G65" s="7">
        <f>C65-D65+E65-F65</f>
        <v/>
      </c>
    </row>
    <row r="66">
      <c r="A66" s="4" t="inlineStr">
        <is>
          <t>Trade Republic Inv. - Brokerage</t>
        </is>
      </c>
      <c r="B66" s="4" t="inlineStr">
        <is>
          <t>2026-06</t>
        </is>
      </c>
      <c r="C66" s="6" t="n">
        <v>0</v>
      </c>
      <c r="D66" s="6" t="n">
        <v>0</v>
      </c>
      <c r="E66" s="6" t="n">
        <v>2285.73</v>
      </c>
      <c r="F66" s="6" t="n">
        <v>40.68</v>
      </c>
      <c r="G66" s="7">
        <f>C66-D66+E66-F66</f>
        <v/>
      </c>
    </row>
    <row r="67">
      <c r="A67" s="4" t="inlineStr">
        <is>
          <t>Trade Republic Inv. - Brokerage</t>
        </is>
      </c>
      <c r="B67" s="4" t="inlineStr">
        <is>
          <t>2026-07</t>
        </is>
      </c>
      <c r="C67" s="6" t="n">
        <v>0</v>
      </c>
      <c r="D67" s="6" t="n">
        <v>0</v>
      </c>
      <c r="E67" s="6" t="n">
        <v>1909.51</v>
      </c>
      <c r="F67" s="6" t="n">
        <v>0</v>
      </c>
      <c r="G67" s="7">
        <f>C67-D67+E67-F67</f>
        <v/>
      </c>
    </row>
    <row r="68">
      <c r="A68" s="4" t="inlineStr">
        <is>
          <t>Trade Republic Inv. - Brokerage</t>
        </is>
      </c>
      <c r="B68" s="4" t="inlineStr">
        <is>
          <t>2026-08</t>
        </is>
      </c>
      <c r="C68" s="6" t="n">
        <v>0</v>
      </c>
      <c r="D68" s="6" t="n">
        <v>0</v>
      </c>
      <c r="E68" s="6" t="n">
        <v>868.23</v>
      </c>
      <c r="F68" s="6" t="n">
        <v>0</v>
      </c>
      <c r="G68" s="7">
        <f>C68-D68+E68-F68</f>
        <v/>
      </c>
    </row>
    <row r="69">
      <c r="A69" s="4" t="inlineStr">
        <is>
          <t>Trade Republic Inv. - Crypto</t>
        </is>
      </c>
      <c r="B69" s="4" t="inlineStr">
        <is>
          <t>2026-04</t>
        </is>
      </c>
      <c r="C69" s="6" t="n">
        <v>0</v>
      </c>
      <c r="D69" s="6" t="n">
        <v>0</v>
      </c>
      <c r="E69" s="6" t="n">
        <v>766.75</v>
      </c>
      <c r="F69" s="6" t="n">
        <v>0</v>
      </c>
      <c r="G69" s="7">
        <f>C69-D69+E69-F69</f>
        <v/>
      </c>
    </row>
    <row r="70">
      <c r="A70" s="4" t="inlineStr">
        <is>
          <t>Trade Republic Inv. - Crypto</t>
        </is>
      </c>
      <c r="B70" s="4" t="inlineStr">
        <is>
          <t>2026-05</t>
        </is>
      </c>
      <c r="C70" s="6" t="n">
        <v>0</v>
      </c>
      <c r="D70" s="6" t="n">
        <v>0</v>
      </c>
      <c r="E70" s="6" t="n">
        <v>0</v>
      </c>
      <c r="F70" s="6" t="n">
        <v>23.43</v>
      </c>
      <c r="G70" s="7">
        <f>C70-D70+E70-F70</f>
        <v/>
      </c>
    </row>
    <row r="71">
      <c r="A71" s="4" t="inlineStr">
        <is>
          <t>Trade Republic Inv. - Crypto</t>
        </is>
      </c>
      <c r="B71" s="4" t="inlineStr">
        <is>
          <t>2026-06</t>
        </is>
      </c>
      <c r="C71" s="6" t="n">
        <v>0</v>
      </c>
      <c r="D71" s="6" t="n">
        <v>0</v>
      </c>
      <c r="E71" s="6" t="n">
        <v>100</v>
      </c>
      <c r="F71" s="6" t="n">
        <v>38.09</v>
      </c>
      <c r="G71" s="7">
        <f>C71-D71+E71-F71</f>
        <v/>
      </c>
    </row>
    <row r="72">
      <c r="A72" s="4" t="inlineStr">
        <is>
          <t>Trade Republic Inv. - Crypto</t>
        </is>
      </c>
      <c r="B72" s="4" t="inlineStr">
        <is>
          <t>2026-07</t>
        </is>
      </c>
      <c r="C72" s="6" t="n">
        <v>0</v>
      </c>
      <c r="D72" s="6" t="n">
        <v>0</v>
      </c>
      <c r="E72" s="6" t="n">
        <v>100</v>
      </c>
      <c r="F72" s="6" t="n">
        <v>49.86</v>
      </c>
      <c r="G72" s="7">
        <f>C72-D72+E72-F72</f>
        <v/>
      </c>
    </row>
    <row r="73">
      <c r="A73" s="4" t="inlineStr">
        <is>
          <t>Trade Republic Inv. - Crypto</t>
        </is>
      </c>
      <c r="B73" s="4" t="inlineStr">
        <is>
          <t>2026-08</t>
        </is>
      </c>
      <c r="C73" s="6" t="n">
        <v>0</v>
      </c>
      <c r="D73" s="6" t="n">
        <v>0</v>
      </c>
      <c r="E73" s="6" t="n">
        <v>100.01</v>
      </c>
      <c r="F73" s="6" t="n">
        <v>0</v>
      </c>
      <c r="G73" s="7">
        <f>C73-D73+E73-F73</f>
        <v/>
      </c>
    </row>
    <row r="74">
      <c r="A74" s="4" t="inlineStr">
        <is>
          <t>Trading 212 Account</t>
        </is>
      </c>
      <c r="B74" s="4" t="inlineStr">
        <is>
          <t>2026-06</t>
        </is>
      </c>
      <c r="C74" s="6" t="n">
        <v>0</v>
      </c>
      <c r="D74" s="6" t="n">
        <v>0</v>
      </c>
      <c r="E74" s="6" t="n">
        <v>100</v>
      </c>
      <c r="F74" s="6" t="n">
        <v>0</v>
      </c>
      <c r="G74" s="7">
        <f>C74-D74+E74-F74</f>
        <v/>
      </c>
    </row>
    <row r="75">
      <c r="A75" s="4" t="inlineStr">
        <is>
          <t>Trading 212 Account</t>
        </is>
      </c>
      <c r="B75" s="4" t="inlineStr">
        <is>
          <t>2026-07</t>
        </is>
      </c>
      <c r="C75" s="6" t="n">
        <v>0</v>
      </c>
      <c r="D75" s="6" t="n">
        <v>0</v>
      </c>
      <c r="E75" s="6" t="n">
        <v>10</v>
      </c>
      <c r="F75" s="6" t="n">
        <v>100</v>
      </c>
      <c r="G75" s="7">
        <f>C75-D75+E75-F75</f>
        <v/>
      </c>
    </row>
    <row r="76">
      <c r="A76" s="3" t="inlineStr">
        <is>
          <t>Total</t>
        </is>
      </c>
      <c r="C76" s="8">
        <f>SUM(C5:C75)</f>
        <v/>
      </c>
      <c r="D76" s="8">
        <f>SUM(D5:D75)</f>
        <v/>
      </c>
      <c r="E76" s="8">
        <f>SUM(E5:E75)</f>
        <v/>
      </c>
      <c r="F76" s="8">
        <f>SUM(F5:F75)</f>
        <v/>
      </c>
      <c r="G76" s="8">
        <f>SUM(G5:G75)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End-of-month balance by account</t>
        </is>
      </c>
    </row>
    <row r="2">
      <c r="A2" s="2" t="inlineStr">
        <is>
          <t>Every value below is a formula: previous month + net change pulled from Monthly Flows. Nothing here is typed in.</t>
        </is>
      </c>
    </row>
    <row r="3" ht="11" customHeight="1">
      <c r="D3" s="9" t="inlineStr">
        <is>
          <t>month key →</t>
        </is>
      </c>
      <c r="E3" s="10" t="inlineStr">
        <is>
          <t>2026-01</t>
        </is>
      </c>
      <c r="F3" s="10" t="inlineStr">
        <is>
          <t>2026-02</t>
        </is>
      </c>
      <c r="G3" s="10" t="inlineStr">
        <is>
          <t>2026-03</t>
        </is>
      </c>
      <c r="H3" s="10" t="inlineStr">
        <is>
          <t>2026-04</t>
        </is>
      </c>
      <c r="I3" s="10" t="inlineStr">
        <is>
          <t>2026-05</t>
        </is>
      </c>
      <c r="J3" s="10" t="inlineStr">
        <is>
          <t>2026-06</t>
        </is>
      </c>
      <c r="K3" s="10" t="inlineStr">
        <is>
          <t>2026-07</t>
        </is>
      </c>
      <c r="L3" s="10" t="inlineStr">
        <is>
          <t>2026-08</t>
        </is>
      </c>
    </row>
    <row r="4">
      <c r="A4" s="5" t="inlineStr">
        <is>
          <t>Account</t>
        </is>
      </c>
      <c r="B4" s="5" t="inlineStr">
        <is>
          <t>Type</t>
        </is>
      </c>
      <c r="C4" s="5" t="inlineStr">
        <is>
          <t>Bank</t>
        </is>
      </c>
      <c r="D4" s="5" t="inlineStr">
        <is>
          <t>Start (1 Jan 2026)</t>
        </is>
      </c>
      <c r="E4" s="5" t="inlineStr">
        <is>
          <t>Jan 2026</t>
        </is>
      </c>
      <c r="F4" s="5" t="inlineStr">
        <is>
          <t>Feb 2026</t>
        </is>
      </c>
      <c r="G4" s="5" t="inlineStr">
        <is>
          <t>Mar 2026</t>
        </is>
      </c>
      <c r="H4" s="5" t="inlineStr">
        <is>
          <t>Apr 2026</t>
        </is>
      </c>
      <c r="I4" s="5" t="inlineStr">
        <is>
          <t>May 2026</t>
        </is>
      </c>
      <c r="J4" s="5" t="inlineStr">
        <is>
          <t>Jun 2026</t>
        </is>
      </c>
      <c r="K4" s="5" t="inlineStr">
        <is>
          <t>Jul 2026</t>
        </is>
      </c>
      <c r="L4" s="5" t="inlineStr">
        <is>
          <t>Aug 2026</t>
        </is>
      </c>
    </row>
    <row r="5">
      <c r="A5" s="4" t="inlineStr">
        <is>
          <t>Cash Withdrawls</t>
        </is>
      </c>
      <c r="B5" s="4" t="inlineStr">
        <is>
          <t>Cash</t>
        </is>
      </c>
      <c r="C5" s="4" t="inlineStr">
        <is>
          <t>—</t>
        </is>
      </c>
      <c r="D5" s="6" t="n">
        <v>0</v>
      </c>
      <c r="E5" s="11">
        <f>D5+SUMIFS('Monthly Flows'!$G$5:$G$75,'Monthly Flows'!$A$5:$A$75,$A5,'Monthly Flows'!$B$5:$B$75,E$3)</f>
        <v/>
      </c>
      <c r="F5" s="11">
        <f>E5+SUMIFS('Monthly Flows'!$G$5:$G$75,'Monthly Flows'!$A$5:$A$75,$A5,'Monthly Flows'!$B$5:$B$75,F$3)</f>
        <v/>
      </c>
      <c r="G5" s="11">
        <f>F5+SUMIFS('Monthly Flows'!$G$5:$G$75,'Monthly Flows'!$A$5:$A$75,$A5,'Monthly Flows'!$B$5:$B$75,G$3)</f>
        <v/>
      </c>
      <c r="H5" s="11">
        <f>G5+SUMIFS('Monthly Flows'!$G$5:$G$75,'Monthly Flows'!$A$5:$A$75,$A5,'Monthly Flows'!$B$5:$B$75,H$3)</f>
        <v/>
      </c>
      <c r="I5" s="11">
        <f>H5+SUMIFS('Monthly Flows'!$G$5:$G$75,'Monthly Flows'!$A$5:$A$75,$A5,'Monthly Flows'!$B$5:$B$75,I$3)</f>
        <v/>
      </c>
      <c r="J5" s="11">
        <f>I5+SUMIFS('Monthly Flows'!$G$5:$G$75,'Monthly Flows'!$A$5:$A$75,$A5,'Monthly Flows'!$B$5:$B$75,J$3)</f>
        <v/>
      </c>
      <c r="K5" s="11">
        <f>J5+SUMIFS('Monthly Flows'!$G$5:$G$75,'Monthly Flows'!$A$5:$A$75,$A5,'Monthly Flows'!$B$5:$B$75,K$3)</f>
        <v/>
      </c>
      <c r="L5" s="11">
        <f>K5+SUMIFS('Monthly Flows'!$G$5:$G$75,'Monthly Flows'!$A$5:$A$75,$A5,'Monthly Flows'!$B$5:$B$75,L$3)</f>
        <v/>
      </c>
    </row>
    <row r="6">
      <c r="A6" s="4" t="inlineStr">
        <is>
          <t>Certificados de Aforro CTT - Série E</t>
        </is>
      </c>
      <c r="B6" s="4" t="inlineStr">
        <is>
          <t>Investment</t>
        </is>
      </c>
      <c r="C6" s="4" t="inlineStr">
        <is>
          <t>CTT/Estado</t>
        </is>
      </c>
      <c r="D6" s="6" t="n">
        <v>534.73</v>
      </c>
      <c r="E6" s="11">
        <f>D6+SUMIFS('Monthly Flows'!$G$5:$G$75,'Monthly Flows'!$A$5:$A$75,$A6,'Monthly Flows'!$B$5:$B$75,E$3)</f>
        <v/>
      </c>
      <c r="F6" s="11">
        <f>E6+SUMIFS('Monthly Flows'!$G$5:$G$75,'Monthly Flows'!$A$5:$A$75,$A6,'Monthly Flows'!$B$5:$B$75,F$3)</f>
        <v/>
      </c>
      <c r="G6" s="11">
        <f>F6+SUMIFS('Monthly Flows'!$G$5:$G$75,'Monthly Flows'!$A$5:$A$75,$A6,'Monthly Flows'!$B$5:$B$75,G$3)</f>
        <v/>
      </c>
      <c r="H6" s="11">
        <f>G6+SUMIFS('Monthly Flows'!$G$5:$G$75,'Monthly Flows'!$A$5:$A$75,$A6,'Monthly Flows'!$B$5:$B$75,H$3)</f>
        <v/>
      </c>
      <c r="I6" s="11">
        <f>H6+SUMIFS('Monthly Flows'!$G$5:$G$75,'Monthly Flows'!$A$5:$A$75,$A6,'Monthly Flows'!$B$5:$B$75,I$3)</f>
        <v/>
      </c>
      <c r="J6" s="11">
        <f>I6+SUMIFS('Monthly Flows'!$G$5:$G$75,'Monthly Flows'!$A$5:$A$75,$A6,'Monthly Flows'!$B$5:$B$75,J$3)</f>
        <v/>
      </c>
      <c r="K6" s="11">
        <f>J6+SUMIFS('Monthly Flows'!$G$5:$G$75,'Monthly Flows'!$A$5:$A$75,$A6,'Monthly Flows'!$B$5:$B$75,K$3)</f>
        <v/>
      </c>
      <c r="L6" s="11">
        <f>K6+SUMIFS('Monthly Flows'!$G$5:$G$75,'Monthly Flows'!$A$5:$A$75,$A6,'Monthly Flows'!$B$5:$B$75,L$3)</f>
        <v/>
      </c>
    </row>
    <row r="7">
      <c r="A7" s="4" t="inlineStr">
        <is>
          <t>Certificados de Aforro CTT - Série F</t>
        </is>
      </c>
      <c r="B7" s="4" t="inlineStr">
        <is>
          <t>Investment</t>
        </is>
      </c>
      <c r="C7" s="4" t="inlineStr">
        <is>
          <t>CTT/Estado</t>
        </is>
      </c>
      <c r="D7" s="6" t="n">
        <v>5512.73</v>
      </c>
      <c r="E7" s="11">
        <f>D7+SUMIFS('Monthly Flows'!$G$5:$G$75,'Monthly Flows'!$A$5:$A$75,$A7,'Monthly Flows'!$B$5:$B$75,E$3)</f>
        <v/>
      </c>
      <c r="F7" s="11">
        <f>E7+SUMIFS('Monthly Flows'!$G$5:$G$75,'Monthly Flows'!$A$5:$A$75,$A7,'Monthly Flows'!$B$5:$B$75,F$3)</f>
        <v/>
      </c>
      <c r="G7" s="11">
        <f>F7+SUMIFS('Monthly Flows'!$G$5:$G$75,'Monthly Flows'!$A$5:$A$75,$A7,'Monthly Flows'!$B$5:$B$75,G$3)</f>
        <v/>
      </c>
      <c r="H7" s="11">
        <f>G7+SUMIFS('Monthly Flows'!$G$5:$G$75,'Monthly Flows'!$A$5:$A$75,$A7,'Monthly Flows'!$B$5:$B$75,H$3)</f>
        <v/>
      </c>
      <c r="I7" s="11">
        <f>H7+SUMIFS('Monthly Flows'!$G$5:$G$75,'Monthly Flows'!$A$5:$A$75,$A7,'Monthly Flows'!$B$5:$B$75,I$3)</f>
        <v/>
      </c>
      <c r="J7" s="11">
        <f>I7+SUMIFS('Monthly Flows'!$G$5:$G$75,'Monthly Flows'!$A$5:$A$75,$A7,'Monthly Flows'!$B$5:$B$75,J$3)</f>
        <v/>
      </c>
      <c r="K7" s="11">
        <f>J7+SUMIFS('Monthly Flows'!$G$5:$G$75,'Monthly Flows'!$A$5:$A$75,$A7,'Monthly Flows'!$B$5:$B$75,K$3)</f>
        <v/>
      </c>
      <c r="L7" s="11">
        <f>K7+SUMIFS('Monthly Flows'!$G$5:$G$75,'Monthly Flows'!$A$5:$A$75,$A7,'Monthly Flows'!$B$5:$B$75,L$3)</f>
        <v/>
      </c>
    </row>
    <row r="8">
      <c r="A8" s="4" t="inlineStr">
        <is>
          <t>Conta Bolsas</t>
        </is>
      </c>
      <c r="B8" s="4" t="inlineStr">
        <is>
          <t>Account</t>
        </is>
      </c>
      <c r="C8" s="4" t="inlineStr">
        <is>
          <t>Santander</t>
        </is>
      </c>
      <c r="D8" s="6" t="n">
        <v>0</v>
      </c>
      <c r="E8" s="11">
        <f>D8+SUMIFS('Monthly Flows'!$G$5:$G$75,'Monthly Flows'!$A$5:$A$75,$A8,'Monthly Flows'!$B$5:$B$75,E$3)</f>
        <v/>
      </c>
      <c r="F8" s="11">
        <f>E8+SUMIFS('Monthly Flows'!$G$5:$G$75,'Monthly Flows'!$A$5:$A$75,$A8,'Monthly Flows'!$B$5:$B$75,F$3)</f>
        <v/>
      </c>
      <c r="G8" s="11">
        <f>F8+SUMIFS('Monthly Flows'!$G$5:$G$75,'Monthly Flows'!$A$5:$A$75,$A8,'Monthly Flows'!$B$5:$B$75,G$3)</f>
        <v/>
      </c>
      <c r="H8" s="11">
        <f>G8+SUMIFS('Monthly Flows'!$G$5:$G$75,'Monthly Flows'!$A$5:$A$75,$A8,'Monthly Flows'!$B$5:$B$75,H$3)</f>
        <v/>
      </c>
      <c r="I8" s="11">
        <f>H8+SUMIFS('Monthly Flows'!$G$5:$G$75,'Monthly Flows'!$A$5:$A$75,$A8,'Monthly Flows'!$B$5:$B$75,I$3)</f>
        <v/>
      </c>
      <c r="J8" s="11">
        <f>I8+SUMIFS('Monthly Flows'!$G$5:$G$75,'Monthly Flows'!$A$5:$A$75,$A8,'Monthly Flows'!$B$5:$B$75,J$3)</f>
        <v/>
      </c>
      <c r="K8" s="11">
        <f>J8+SUMIFS('Monthly Flows'!$G$5:$G$75,'Monthly Flows'!$A$5:$A$75,$A8,'Monthly Flows'!$B$5:$B$75,K$3)</f>
        <v/>
      </c>
      <c r="L8" s="11">
        <f>K8+SUMIFS('Monthly Flows'!$G$5:$G$75,'Monthly Flows'!$A$5:$A$75,$A8,'Monthly Flows'!$B$5:$B$75,L$3)</f>
        <v/>
      </c>
    </row>
    <row r="9">
      <c r="A9" s="4" t="inlineStr">
        <is>
          <t>Conta Corrente</t>
        </is>
      </c>
      <c r="B9" s="4" t="inlineStr">
        <is>
          <t>Account</t>
        </is>
      </c>
      <c r="C9" s="4" t="inlineStr">
        <is>
          <t>Santander</t>
        </is>
      </c>
      <c r="D9" s="6" t="n">
        <v>344.63</v>
      </c>
      <c r="E9" s="11">
        <f>D9+SUMIFS('Monthly Flows'!$G$5:$G$75,'Monthly Flows'!$A$5:$A$75,$A9,'Monthly Flows'!$B$5:$B$75,E$3)</f>
        <v/>
      </c>
      <c r="F9" s="11">
        <f>E9+SUMIFS('Monthly Flows'!$G$5:$G$75,'Monthly Flows'!$A$5:$A$75,$A9,'Monthly Flows'!$B$5:$B$75,F$3)</f>
        <v/>
      </c>
      <c r="G9" s="11">
        <f>F9+SUMIFS('Monthly Flows'!$G$5:$G$75,'Monthly Flows'!$A$5:$A$75,$A9,'Monthly Flows'!$B$5:$B$75,G$3)</f>
        <v/>
      </c>
      <c r="H9" s="11">
        <f>G9+SUMIFS('Monthly Flows'!$G$5:$G$75,'Monthly Flows'!$A$5:$A$75,$A9,'Monthly Flows'!$B$5:$B$75,H$3)</f>
        <v/>
      </c>
      <c r="I9" s="11">
        <f>H9+SUMIFS('Monthly Flows'!$G$5:$G$75,'Monthly Flows'!$A$5:$A$75,$A9,'Monthly Flows'!$B$5:$B$75,I$3)</f>
        <v/>
      </c>
      <c r="J9" s="11">
        <f>I9+SUMIFS('Monthly Flows'!$G$5:$G$75,'Monthly Flows'!$A$5:$A$75,$A9,'Monthly Flows'!$B$5:$B$75,J$3)</f>
        <v/>
      </c>
      <c r="K9" s="11">
        <f>J9+SUMIFS('Monthly Flows'!$G$5:$G$75,'Monthly Flows'!$A$5:$A$75,$A9,'Monthly Flows'!$B$5:$B$75,K$3)</f>
        <v/>
      </c>
      <c r="L9" s="11">
        <f>K9+SUMIFS('Monthly Flows'!$G$5:$G$75,'Monthly Flows'!$A$5:$A$75,$A9,'Monthly Flows'!$B$5:$B$75,L$3)</f>
        <v/>
      </c>
    </row>
    <row r="10">
      <c r="A10" s="4" t="inlineStr">
        <is>
          <t>Conta Poupança</t>
        </is>
      </c>
      <c r="B10" s="4" t="inlineStr">
        <is>
          <t>Account</t>
        </is>
      </c>
      <c r="C10" s="4" t="inlineStr">
        <is>
          <t>Santander</t>
        </is>
      </c>
      <c r="D10" s="6" t="n">
        <v>2600.31</v>
      </c>
      <c r="E10" s="11">
        <f>D10+SUMIFS('Monthly Flows'!$G$5:$G$75,'Monthly Flows'!$A$5:$A$75,$A10,'Monthly Flows'!$B$5:$B$75,E$3)</f>
        <v/>
      </c>
      <c r="F10" s="11">
        <f>E10+SUMIFS('Monthly Flows'!$G$5:$G$75,'Monthly Flows'!$A$5:$A$75,$A10,'Monthly Flows'!$B$5:$B$75,F$3)</f>
        <v/>
      </c>
      <c r="G10" s="11">
        <f>F10+SUMIFS('Monthly Flows'!$G$5:$G$75,'Monthly Flows'!$A$5:$A$75,$A10,'Monthly Flows'!$B$5:$B$75,G$3)</f>
        <v/>
      </c>
      <c r="H10" s="11">
        <f>G10+SUMIFS('Monthly Flows'!$G$5:$G$75,'Monthly Flows'!$A$5:$A$75,$A10,'Monthly Flows'!$B$5:$B$75,H$3)</f>
        <v/>
      </c>
      <c r="I10" s="11">
        <f>H10+SUMIFS('Monthly Flows'!$G$5:$G$75,'Monthly Flows'!$A$5:$A$75,$A10,'Monthly Flows'!$B$5:$B$75,I$3)</f>
        <v/>
      </c>
      <c r="J10" s="11">
        <f>I10+SUMIFS('Monthly Flows'!$G$5:$G$75,'Monthly Flows'!$A$5:$A$75,$A10,'Monthly Flows'!$B$5:$B$75,J$3)</f>
        <v/>
      </c>
      <c r="K10" s="11">
        <f>J10+SUMIFS('Monthly Flows'!$G$5:$G$75,'Monthly Flows'!$A$5:$A$75,$A10,'Monthly Flows'!$B$5:$B$75,K$3)</f>
        <v/>
      </c>
      <c r="L10" s="11">
        <f>K10+SUMIFS('Monthly Flows'!$G$5:$G$75,'Monthly Flows'!$A$5:$A$75,$A10,'Monthly Flows'!$B$5:$B$75,L$3)</f>
        <v/>
      </c>
    </row>
    <row r="11">
      <c r="A11" s="4" t="inlineStr">
        <is>
          <t>PayPal</t>
        </is>
      </c>
      <c r="B11" s="4" t="inlineStr">
        <is>
          <t>Account</t>
        </is>
      </c>
      <c r="C11" s="4" t="inlineStr">
        <is>
          <t>PayPal</t>
        </is>
      </c>
      <c r="D11" s="6" t="n">
        <v>0</v>
      </c>
      <c r="E11" s="11">
        <f>D11+SUMIFS('Monthly Flows'!$G$5:$G$75,'Monthly Flows'!$A$5:$A$75,$A11,'Monthly Flows'!$B$5:$B$75,E$3)</f>
        <v/>
      </c>
      <c r="F11" s="11">
        <f>E11+SUMIFS('Monthly Flows'!$G$5:$G$75,'Monthly Flows'!$A$5:$A$75,$A11,'Monthly Flows'!$B$5:$B$75,F$3)</f>
        <v/>
      </c>
      <c r="G11" s="11">
        <f>F11+SUMIFS('Monthly Flows'!$G$5:$G$75,'Monthly Flows'!$A$5:$A$75,$A11,'Monthly Flows'!$B$5:$B$75,G$3)</f>
        <v/>
      </c>
      <c r="H11" s="11">
        <f>G11+SUMIFS('Monthly Flows'!$G$5:$G$75,'Monthly Flows'!$A$5:$A$75,$A11,'Monthly Flows'!$B$5:$B$75,H$3)</f>
        <v/>
      </c>
      <c r="I11" s="11">
        <f>H11+SUMIFS('Monthly Flows'!$G$5:$G$75,'Monthly Flows'!$A$5:$A$75,$A11,'Monthly Flows'!$B$5:$B$75,I$3)</f>
        <v/>
      </c>
      <c r="J11" s="11">
        <f>I11+SUMIFS('Monthly Flows'!$G$5:$G$75,'Monthly Flows'!$A$5:$A$75,$A11,'Monthly Flows'!$B$5:$B$75,J$3)</f>
        <v/>
      </c>
      <c r="K11" s="11">
        <f>J11+SUMIFS('Monthly Flows'!$G$5:$G$75,'Monthly Flows'!$A$5:$A$75,$A11,'Monthly Flows'!$B$5:$B$75,K$3)</f>
        <v/>
      </c>
      <c r="L11" s="11">
        <f>K11+SUMIFS('Monthly Flows'!$G$5:$G$75,'Monthly Flows'!$A$5:$A$75,$A11,'Monthly Flows'!$B$5:$B$75,L$3)</f>
        <v/>
      </c>
    </row>
    <row r="12">
      <c r="A12" s="4" t="inlineStr">
        <is>
          <t>Revolut</t>
        </is>
      </c>
      <c r="B12" s="4" t="inlineStr">
        <is>
          <t>Account</t>
        </is>
      </c>
      <c r="C12" s="4" t="inlineStr">
        <is>
          <t>Revolut</t>
        </is>
      </c>
      <c r="D12" s="6" t="n">
        <v>0</v>
      </c>
      <c r="E12" s="11">
        <f>D12+SUMIFS('Monthly Flows'!$G$5:$G$75,'Monthly Flows'!$A$5:$A$75,$A12,'Monthly Flows'!$B$5:$B$75,E$3)</f>
        <v/>
      </c>
      <c r="F12" s="11">
        <f>E12+SUMIFS('Monthly Flows'!$G$5:$G$75,'Monthly Flows'!$A$5:$A$75,$A12,'Monthly Flows'!$B$5:$B$75,F$3)</f>
        <v/>
      </c>
      <c r="G12" s="11">
        <f>F12+SUMIFS('Monthly Flows'!$G$5:$G$75,'Monthly Flows'!$A$5:$A$75,$A12,'Monthly Flows'!$B$5:$B$75,G$3)</f>
        <v/>
      </c>
      <c r="H12" s="11">
        <f>G12+SUMIFS('Monthly Flows'!$G$5:$G$75,'Monthly Flows'!$A$5:$A$75,$A12,'Monthly Flows'!$B$5:$B$75,H$3)</f>
        <v/>
      </c>
      <c r="I12" s="11">
        <f>H12+SUMIFS('Monthly Flows'!$G$5:$G$75,'Monthly Flows'!$A$5:$A$75,$A12,'Monthly Flows'!$B$5:$B$75,I$3)</f>
        <v/>
      </c>
      <c r="J12" s="11">
        <f>I12+SUMIFS('Monthly Flows'!$G$5:$G$75,'Monthly Flows'!$A$5:$A$75,$A12,'Monthly Flows'!$B$5:$B$75,J$3)</f>
        <v/>
      </c>
      <c r="K12" s="11">
        <f>J12+SUMIFS('Monthly Flows'!$G$5:$G$75,'Monthly Flows'!$A$5:$A$75,$A12,'Monthly Flows'!$B$5:$B$75,K$3)</f>
        <v/>
      </c>
      <c r="L12" s="11">
        <f>K12+SUMIFS('Monthly Flows'!$G$5:$G$75,'Monthly Flows'!$A$5:$A$75,$A12,'Monthly Flows'!$B$5:$B$75,L$3)</f>
        <v/>
      </c>
    </row>
    <row r="13">
      <c r="A13" s="4" t="inlineStr">
        <is>
          <t>Revolut - Fundo Emergência</t>
        </is>
      </c>
      <c r="B13" s="4" t="inlineStr">
        <is>
          <t>Investment</t>
        </is>
      </c>
      <c r="C13" s="4" t="inlineStr">
        <is>
          <t>Revolut</t>
        </is>
      </c>
      <c r="D13" s="6" t="n">
        <v>0</v>
      </c>
      <c r="E13" s="11">
        <f>D13+SUMIFS('Monthly Flows'!$G$5:$G$75,'Monthly Flows'!$A$5:$A$75,$A13,'Monthly Flows'!$B$5:$B$75,E$3)</f>
        <v/>
      </c>
      <c r="F13" s="11">
        <f>E13+SUMIFS('Monthly Flows'!$G$5:$G$75,'Monthly Flows'!$A$5:$A$75,$A13,'Monthly Flows'!$B$5:$B$75,F$3)</f>
        <v/>
      </c>
      <c r="G13" s="11">
        <f>F13+SUMIFS('Monthly Flows'!$G$5:$G$75,'Monthly Flows'!$A$5:$A$75,$A13,'Monthly Flows'!$B$5:$B$75,G$3)</f>
        <v/>
      </c>
      <c r="H13" s="11">
        <f>G13+SUMIFS('Monthly Flows'!$G$5:$G$75,'Monthly Flows'!$A$5:$A$75,$A13,'Monthly Flows'!$B$5:$B$75,H$3)</f>
        <v/>
      </c>
      <c r="I13" s="11">
        <f>H13+SUMIFS('Monthly Flows'!$G$5:$G$75,'Monthly Flows'!$A$5:$A$75,$A13,'Monthly Flows'!$B$5:$B$75,I$3)</f>
        <v/>
      </c>
      <c r="J13" s="11">
        <f>I13+SUMIFS('Monthly Flows'!$G$5:$G$75,'Monthly Flows'!$A$5:$A$75,$A13,'Monthly Flows'!$B$5:$B$75,J$3)</f>
        <v/>
      </c>
      <c r="K13" s="11">
        <f>J13+SUMIFS('Monthly Flows'!$G$5:$G$75,'Monthly Flows'!$A$5:$A$75,$A13,'Monthly Flows'!$B$5:$B$75,K$3)</f>
        <v/>
      </c>
      <c r="L13" s="11">
        <f>K13+SUMIFS('Monthly Flows'!$G$5:$G$75,'Monthly Flows'!$A$5:$A$75,$A13,'Monthly Flows'!$B$5:$B$75,L$3)</f>
        <v/>
      </c>
    </row>
    <row r="14">
      <c r="A14" s="4" t="inlineStr">
        <is>
          <t>Revolut - Wealth Build</t>
        </is>
      </c>
      <c r="B14" s="4" t="inlineStr">
        <is>
          <t>Investment</t>
        </is>
      </c>
      <c r="C14" s="4" t="inlineStr">
        <is>
          <t>Revolut</t>
        </is>
      </c>
      <c r="D14" s="6" t="n">
        <v>0</v>
      </c>
      <c r="E14" s="11">
        <f>D14+SUMIFS('Monthly Flows'!$G$5:$G$75,'Monthly Flows'!$A$5:$A$75,$A14,'Monthly Flows'!$B$5:$B$75,E$3)</f>
        <v/>
      </c>
      <c r="F14" s="11">
        <f>E14+SUMIFS('Monthly Flows'!$G$5:$G$75,'Monthly Flows'!$A$5:$A$75,$A14,'Monthly Flows'!$B$5:$B$75,F$3)</f>
        <v/>
      </c>
      <c r="G14" s="11">
        <f>F14+SUMIFS('Monthly Flows'!$G$5:$G$75,'Monthly Flows'!$A$5:$A$75,$A14,'Monthly Flows'!$B$5:$B$75,G$3)</f>
        <v/>
      </c>
      <c r="H14" s="11">
        <f>G14+SUMIFS('Monthly Flows'!$G$5:$G$75,'Monthly Flows'!$A$5:$A$75,$A14,'Monthly Flows'!$B$5:$B$75,H$3)</f>
        <v/>
      </c>
      <c r="I14" s="11">
        <f>H14+SUMIFS('Monthly Flows'!$G$5:$G$75,'Monthly Flows'!$A$5:$A$75,$A14,'Monthly Flows'!$B$5:$B$75,I$3)</f>
        <v/>
      </c>
      <c r="J14" s="11">
        <f>I14+SUMIFS('Monthly Flows'!$G$5:$G$75,'Monthly Flows'!$A$5:$A$75,$A14,'Monthly Flows'!$B$5:$B$75,J$3)</f>
        <v/>
      </c>
      <c r="K14" s="11">
        <f>J14+SUMIFS('Monthly Flows'!$G$5:$G$75,'Monthly Flows'!$A$5:$A$75,$A14,'Monthly Flows'!$B$5:$B$75,K$3)</f>
        <v/>
      </c>
      <c r="L14" s="11">
        <f>K14+SUMIFS('Monthly Flows'!$G$5:$G$75,'Monthly Flows'!$A$5:$A$75,$A14,'Monthly Flows'!$B$5:$B$75,L$3)</f>
        <v/>
      </c>
    </row>
    <row r="15">
      <c r="A15" s="4" t="inlineStr">
        <is>
          <t>Robinhood</t>
        </is>
      </c>
      <c r="B15" s="4" t="inlineStr">
        <is>
          <t>Investment</t>
        </is>
      </c>
      <c r="C15" s="4" t="inlineStr">
        <is>
          <t>Robinhood</t>
        </is>
      </c>
      <c r="D15" s="6" t="n">
        <v>0</v>
      </c>
      <c r="E15" s="11">
        <f>D15+SUMIFS('Monthly Flows'!$G$5:$G$75,'Monthly Flows'!$A$5:$A$75,$A15,'Monthly Flows'!$B$5:$B$75,E$3)</f>
        <v/>
      </c>
      <c r="F15" s="11">
        <f>E15+SUMIFS('Monthly Flows'!$G$5:$G$75,'Monthly Flows'!$A$5:$A$75,$A15,'Monthly Flows'!$B$5:$B$75,F$3)</f>
        <v/>
      </c>
      <c r="G15" s="11">
        <f>F15+SUMIFS('Monthly Flows'!$G$5:$G$75,'Monthly Flows'!$A$5:$A$75,$A15,'Monthly Flows'!$B$5:$B$75,G$3)</f>
        <v/>
      </c>
      <c r="H15" s="11">
        <f>G15+SUMIFS('Monthly Flows'!$G$5:$G$75,'Monthly Flows'!$A$5:$A$75,$A15,'Monthly Flows'!$B$5:$B$75,H$3)</f>
        <v/>
      </c>
      <c r="I15" s="11">
        <f>H15+SUMIFS('Monthly Flows'!$G$5:$G$75,'Monthly Flows'!$A$5:$A$75,$A15,'Monthly Flows'!$B$5:$B$75,I$3)</f>
        <v/>
      </c>
      <c r="J15" s="11">
        <f>I15+SUMIFS('Monthly Flows'!$G$5:$G$75,'Monthly Flows'!$A$5:$A$75,$A15,'Monthly Flows'!$B$5:$B$75,J$3)</f>
        <v/>
      </c>
      <c r="K15" s="11">
        <f>J15+SUMIFS('Monthly Flows'!$G$5:$G$75,'Monthly Flows'!$A$5:$A$75,$A15,'Monthly Flows'!$B$5:$B$75,K$3)</f>
        <v/>
      </c>
      <c r="L15" s="11">
        <f>K15+SUMIFS('Monthly Flows'!$G$5:$G$75,'Monthly Flows'!$A$5:$A$75,$A15,'Monthly Flows'!$B$5:$B$75,L$3)</f>
        <v/>
      </c>
    </row>
    <row r="16">
      <c r="A16" s="4" t="inlineStr">
        <is>
          <t>Trade Republic Account</t>
        </is>
      </c>
      <c r="B16" s="4" t="inlineStr">
        <is>
          <t>Account</t>
        </is>
      </c>
      <c r="C16" s="4" t="inlineStr">
        <is>
          <t>Trade Republic</t>
        </is>
      </c>
      <c r="D16" s="6" t="n">
        <v>340.94</v>
      </c>
      <c r="E16" s="11">
        <f>D16+SUMIFS('Monthly Flows'!$G$5:$G$75,'Monthly Flows'!$A$5:$A$75,$A16,'Monthly Flows'!$B$5:$B$75,E$3)</f>
        <v/>
      </c>
      <c r="F16" s="11">
        <f>E16+SUMIFS('Monthly Flows'!$G$5:$G$75,'Monthly Flows'!$A$5:$A$75,$A16,'Monthly Flows'!$B$5:$B$75,F$3)</f>
        <v/>
      </c>
      <c r="G16" s="11">
        <f>F16+SUMIFS('Monthly Flows'!$G$5:$G$75,'Monthly Flows'!$A$5:$A$75,$A16,'Monthly Flows'!$B$5:$B$75,G$3)</f>
        <v/>
      </c>
      <c r="H16" s="11">
        <f>G16+SUMIFS('Monthly Flows'!$G$5:$G$75,'Monthly Flows'!$A$5:$A$75,$A16,'Monthly Flows'!$B$5:$B$75,H$3)</f>
        <v/>
      </c>
      <c r="I16" s="11">
        <f>H16+SUMIFS('Monthly Flows'!$G$5:$G$75,'Monthly Flows'!$A$5:$A$75,$A16,'Monthly Flows'!$B$5:$B$75,I$3)</f>
        <v/>
      </c>
      <c r="J16" s="11">
        <f>I16+SUMIFS('Monthly Flows'!$G$5:$G$75,'Monthly Flows'!$A$5:$A$75,$A16,'Monthly Flows'!$B$5:$B$75,J$3)</f>
        <v/>
      </c>
      <c r="K16" s="11">
        <f>J16+SUMIFS('Monthly Flows'!$G$5:$G$75,'Monthly Flows'!$A$5:$A$75,$A16,'Monthly Flows'!$B$5:$B$75,K$3)</f>
        <v/>
      </c>
      <c r="L16" s="11">
        <f>K16+SUMIFS('Monthly Flows'!$G$5:$G$75,'Monthly Flows'!$A$5:$A$75,$A16,'Monthly Flows'!$B$5:$B$75,L$3)</f>
        <v/>
      </c>
    </row>
    <row r="17">
      <c r="A17" s="4" t="inlineStr">
        <is>
          <t>Trade Republic Inv. - Brokerage</t>
        </is>
      </c>
      <c r="B17" s="4" t="inlineStr">
        <is>
          <t>Investment</t>
        </is>
      </c>
      <c r="C17" s="4" t="inlineStr">
        <is>
          <t>Trade Republic</t>
        </is>
      </c>
      <c r="D17" s="6" t="n">
        <v>7687.87</v>
      </c>
      <c r="E17" s="11">
        <f>D17+SUMIFS('Monthly Flows'!$G$5:$G$75,'Monthly Flows'!$A$5:$A$75,$A17,'Monthly Flows'!$B$5:$B$75,E$3)</f>
        <v/>
      </c>
      <c r="F17" s="11">
        <f>E17+SUMIFS('Monthly Flows'!$G$5:$G$75,'Monthly Flows'!$A$5:$A$75,$A17,'Monthly Flows'!$B$5:$B$75,F$3)</f>
        <v/>
      </c>
      <c r="G17" s="11">
        <f>F17+SUMIFS('Monthly Flows'!$G$5:$G$75,'Monthly Flows'!$A$5:$A$75,$A17,'Monthly Flows'!$B$5:$B$75,G$3)</f>
        <v/>
      </c>
      <c r="H17" s="11">
        <f>G17+SUMIFS('Monthly Flows'!$G$5:$G$75,'Monthly Flows'!$A$5:$A$75,$A17,'Monthly Flows'!$B$5:$B$75,H$3)</f>
        <v/>
      </c>
      <c r="I17" s="11">
        <f>H17+SUMIFS('Monthly Flows'!$G$5:$G$75,'Monthly Flows'!$A$5:$A$75,$A17,'Monthly Flows'!$B$5:$B$75,I$3)</f>
        <v/>
      </c>
      <c r="J17" s="11">
        <f>I17+SUMIFS('Monthly Flows'!$G$5:$G$75,'Monthly Flows'!$A$5:$A$75,$A17,'Monthly Flows'!$B$5:$B$75,J$3)</f>
        <v/>
      </c>
      <c r="K17" s="11">
        <f>J17+SUMIFS('Monthly Flows'!$G$5:$G$75,'Monthly Flows'!$A$5:$A$75,$A17,'Monthly Flows'!$B$5:$B$75,K$3)</f>
        <v/>
      </c>
      <c r="L17" s="11">
        <f>K17+SUMIFS('Monthly Flows'!$G$5:$G$75,'Monthly Flows'!$A$5:$A$75,$A17,'Monthly Flows'!$B$5:$B$75,L$3)</f>
        <v/>
      </c>
    </row>
    <row r="18">
      <c r="A18" s="4" t="inlineStr">
        <is>
          <t>Trade Republic Inv. - Crypto</t>
        </is>
      </c>
      <c r="B18" s="4" t="inlineStr">
        <is>
          <t>Investment</t>
        </is>
      </c>
      <c r="C18" s="4" t="inlineStr">
        <is>
          <t>Trade Republic</t>
        </is>
      </c>
      <c r="D18" s="6" t="n">
        <v>0</v>
      </c>
      <c r="E18" s="11">
        <f>D18+SUMIFS('Monthly Flows'!$G$5:$G$75,'Monthly Flows'!$A$5:$A$75,$A18,'Monthly Flows'!$B$5:$B$75,E$3)</f>
        <v/>
      </c>
      <c r="F18" s="11">
        <f>E18+SUMIFS('Monthly Flows'!$G$5:$G$75,'Monthly Flows'!$A$5:$A$75,$A18,'Monthly Flows'!$B$5:$B$75,F$3)</f>
        <v/>
      </c>
      <c r="G18" s="11">
        <f>F18+SUMIFS('Monthly Flows'!$G$5:$G$75,'Monthly Flows'!$A$5:$A$75,$A18,'Monthly Flows'!$B$5:$B$75,G$3)</f>
        <v/>
      </c>
      <c r="H18" s="11">
        <f>G18+SUMIFS('Monthly Flows'!$G$5:$G$75,'Monthly Flows'!$A$5:$A$75,$A18,'Monthly Flows'!$B$5:$B$75,H$3)</f>
        <v/>
      </c>
      <c r="I18" s="11">
        <f>H18+SUMIFS('Monthly Flows'!$G$5:$G$75,'Monthly Flows'!$A$5:$A$75,$A18,'Monthly Flows'!$B$5:$B$75,I$3)</f>
        <v/>
      </c>
      <c r="J18" s="11">
        <f>I18+SUMIFS('Monthly Flows'!$G$5:$G$75,'Monthly Flows'!$A$5:$A$75,$A18,'Monthly Flows'!$B$5:$B$75,J$3)</f>
        <v/>
      </c>
      <c r="K18" s="11">
        <f>J18+SUMIFS('Monthly Flows'!$G$5:$G$75,'Monthly Flows'!$A$5:$A$75,$A18,'Monthly Flows'!$B$5:$B$75,K$3)</f>
        <v/>
      </c>
      <c r="L18" s="11">
        <f>K18+SUMIFS('Monthly Flows'!$G$5:$G$75,'Monthly Flows'!$A$5:$A$75,$A18,'Monthly Flows'!$B$5:$B$75,L$3)</f>
        <v/>
      </c>
    </row>
    <row r="19">
      <c r="A19" s="4" t="inlineStr">
        <is>
          <t>Trading 212 Account</t>
        </is>
      </c>
      <c r="B19" s="4" t="inlineStr">
        <is>
          <t>Investment</t>
        </is>
      </c>
      <c r="C19" s="4" t="inlineStr">
        <is>
          <t>Trading 212</t>
        </is>
      </c>
      <c r="D19" s="6" t="n">
        <v>0</v>
      </c>
      <c r="E19" s="11">
        <f>D19+SUMIFS('Monthly Flows'!$G$5:$G$75,'Monthly Flows'!$A$5:$A$75,$A19,'Monthly Flows'!$B$5:$B$75,E$3)</f>
        <v/>
      </c>
      <c r="F19" s="11">
        <f>E19+SUMIFS('Monthly Flows'!$G$5:$G$75,'Monthly Flows'!$A$5:$A$75,$A19,'Monthly Flows'!$B$5:$B$75,F$3)</f>
        <v/>
      </c>
      <c r="G19" s="11">
        <f>F19+SUMIFS('Monthly Flows'!$G$5:$G$75,'Monthly Flows'!$A$5:$A$75,$A19,'Monthly Flows'!$B$5:$B$75,G$3)</f>
        <v/>
      </c>
      <c r="H19" s="11">
        <f>G19+SUMIFS('Monthly Flows'!$G$5:$G$75,'Monthly Flows'!$A$5:$A$75,$A19,'Monthly Flows'!$B$5:$B$75,H$3)</f>
        <v/>
      </c>
      <c r="I19" s="11">
        <f>H19+SUMIFS('Monthly Flows'!$G$5:$G$75,'Monthly Flows'!$A$5:$A$75,$A19,'Monthly Flows'!$B$5:$B$75,I$3)</f>
        <v/>
      </c>
      <c r="J19" s="11">
        <f>I19+SUMIFS('Monthly Flows'!$G$5:$G$75,'Monthly Flows'!$A$5:$A$75,$A19,'Monthly Flows'!$B$5:$B$75,J$3)</f>
        <v/>
      </c>
      <c r="K19" s="11">
        <f>J19+SUMIFS('Monthly Flows'!$G$5:$G$75,'Monthly Flows'!$A$5:$A$75,$A19,'Monthly Flows'!$B$5:$B$75,K$3)</f>
        <v/>
      </c>
      <c r="L19" s="11">
        <f>K19+SUMIFS('Monthly Flows'!$G$5:$G$75,'Monthly Flows'!$A$5:$A$75,$A19,'Monthly Flows'!$B$5:$B$75,L$3)</f>
        <v/>
      </c>
    </row>
    <row r="20">
      <c r="A20" s="3" t="inlineStr">
        <is>
          <t>TOTAL — net worth</t>
        </is>
      </c>
      <c r="D20" s="8">
        <f>SUM(D5:D19)</f>
        <v/>
      </c>
      <c r="E20" s="8">
        <f>SUM(E5:E19)</f>
        <v/>
      </c>
      <c r="F20" s="8">
        <f>SUM(F5:F19)</f>
        <v/>
      </c>
      <c r="G20" s="8">
        <f>SUM(G5:G19)</f>
        <v/>
      </c>
      <c r="H20" s="8">
        <f>SUM(H5:H19)</f>
        <v/>
      </c>
      <c r="I20" s="8">
        <f>SUM(I5:I19)</f>
        <v/>
      </c>
      <c r="J20" s="8">
        <f>SUM(J5:J19)</f>
        <v/>
      </c>
      <c r="K20" s="8">
        <f>SUM(K5:K19)</f>
        <v/>
      </c>
      <c r="L20" s="8">
        <f>SUM(L5:L19)</f>
        <v/>
      </c>
    </row>
    <row r="22">
      <c r="A22" s="3" t="inlineStr">
        <is>
          <t>Change since 1 Jan 2026</t>
        </is>
      </c>
      <c r="L22" s="12">
        <f>L20-D20</f>
        <v/>
      </c>
    </row>
    <row r="24">
      <c r="A24" s="2" t="inlineStr">
        <is>
          <t>Starting balances come from the 'Starting Balance (as of January 1st 2026)' field in the Notion Accounts database. August 2026 is partial (last transaction 5 Aug 2026). See Read Me for all assumptions.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7" customWidth="1" min="3" max="3"/>
    <col width="15" customWidth="1" min="4" max="4"/>
  </cols>
  <sheetData>
    <row r="1">
      <c r="A1" s="1" t="inlineStr">
        <is>
          <t>Investment Flows — capital vs. return, split at source (blue cells are inputs)</t>
        </is>
      </c>
    </row>
    <row r="2">
      <c r="A2" s="2" t="inlineStr">
        <is>
          <t>A transfer between two of your own accounts is capital moving. A one-sided transfer on an investment account (no From or no To) is a gain or a loss — in Notion these are the Portfolio Delta / CTT Aforro Delta / fund delta rows. Net = in minus out for that month.</t>
        </is>
      </c>
    </row>
    <row r="4">
      <c r="A4" s="5" t="inlineStr">
        <is>
          <t>Investment account</t>
        </is>
      </c>
      <c r="B4" s="5" t="inlineStr">
        <is>
          <t>Month</t>
        </is>
      </c>
      <c r="C4" s="5" t="inlineStr">
        <is>
          <t>Net Capital In (€)</t>
        </is>
      </c>
      <c r="D4" s="5" t="inlineStr">
        <is>
          <t>Net Return (€)</t>
        </is>
      </c>
    </row>
    <row r="5">
      <c r="A5" s="4" t="inlineStr">
        <is>
          <t>Certificados de Aforro CTT - Série E</t>
        </is>
      </c>
      <c r="B5" s="4" t="inlineStr">
        <is>
          <t>2026-02</t>
        </is>
      </c>
      <c r="C5" s="6" t="n">
        <v>0</v>
      </c>
      <c r="D5" s="6" t="n">
        <v>3.37</v>
      </c>
    </row>
    <row r="6">
      <c r="A6" s="4" t="inlineStr">
        <is>
          <t>Certificados de Aforro CTT - Série E</t>
        </is>
      </c>
      <c r="B6" s="4" t="inlineStr">
        <is>
          <t>2026-05</t>
        </is>
      </c>
      <c r="C6" s="6" t="n">
        <v>0</v>
      </c>
      <c r="D6" s="6" t="n">
        <v>3.44</v>
      </c>
    </row>
    <row r="7">
      <c r="A7" s="4" t="inlineStr">
        <is>
          <t>Certificados de Aforro CTT - Série F</t>
        </is>
      </c>
      <c r="B7" s="4" t="inlineStr">
        <is>
          <t>2026-02</t>
        </is>
      </c>
      <c r="C7" s="6" t="n">
        <v>0</v>
      </c>
      <c r="D7" s="6" t="n">
        <v>20.9</v>
      </c>
    </row>
    <row r="8">
      <c r="A8" s="4" t="inlineStr">
        <is>
          <t>Certificados de Aforro CTT - Série F</t>
        </is>
      </c>
      <c r="B8" s="4" t="inlineStr">
        <is>
          <t>2026-04</t>
        </is>
      </c>
      <c r="C8" s="6" t="n">
        <v>0</v>
      </c>
      <c r="D8" s="6" t="n">
        <v>1.57</v>
      </c>
    </row>
    <row r="9">
      <c r="A9" s="4" t="inlineStr">
        <is>
          <t>Certificados de Aforro CTT - Série F</t>
        </is>
      </c>
      <c r="B9" s="4" t="inlineStr">
        <is>
          <t>2026-05</t>
        </is>
      </c>
      <c r="C9" s="6" t="n">
        <v>0</v>
      </c>
      <c r="D9" s="6" t="n">
        <v>21.3</v>
      </c>
    </row>
    <row r="10">
      <c r="A10" s="4" t="inlineStr">
        <is>
          <t>Certificados de Aforro CTT - Série F</t>
        </is>
      </c>
      <c r="B10" s="4" t="inlineStr">
        <is>
          <t>2026-08</t>
        </is>
      </c>
      <c r="C10" s="6" t="n">
        <v>-1851.19</v>
      </c>
      <c r="D10" s="6" t="n">
        <v>0</v>
      </c>
    </row>
    <row r="11">
      <c r="A11" s="4" t="inlineStr">
        <is>
          <t>Revolut - Fundo Emergência</t>
        </is>
      </c>
      <c r="B11" s="4" t="inlineStr">
        <is>
          <t>2026-06</t>
        </is>
      </c>
      <c r="C11" s="6" t="n">
        <v>405</v>
      </c>
      <c r="D11" s="6" t="n">
        <v>0</v>
      </c>
    </row>
    <row r="12">
      <c r="A12" s="4" t="inlineStr">
        <is>
          <t>Revolut - Fundo Emergência</t>
        </is>
      </c>
      <c r="B12" s="4" t="inlineStr">
        <is>
          <t>2026-07</t>
        </is>
      </c>
      <c r="C12" s="6" t="n">
        <v>41</v>
      </c>
      <c r="D12" s="6" t="n">
        <v>0.82</v>
      </c>
    </row>
    <row r="13">
      <c r="A13" s="4" t="inlineStr">
        <is>
          <t>Revolut - Fundo Emergência</t>
        </is>
      </c>
      <c r="B13" s="4" t="inlineStr">
        <is>
          <t>2026-08</t>
        </is>
      </c>
      <c r="C13" s="6" t="n">
        <v>-396</v>
      </c>
      <c r="D13" s="6" t="n">
        <v>0</v>
      </c>
    </row>
    <row r="14">
      <c r="A14" s="4" t="inlineStr">
        <is>
          <t>Revolut - Wealth Build</t>
        </is>
      </c>
      <c r="B14" s="4" t="inlineStr">
        <is>
          <t>2026-06</t>
        </is>
      </c>
      <c r="C14" s="6" t="n">
        <v>250</v>
      </c>
      <c r="D14" s="6" t="n">
        <v>0</v>
      </c>
    </row>
    <row r="15">
      <c r="A15" s="4" t="inlineStr">
        <is>
          <t>Revolut - Wealth Build</t>
        </is>
      </c>
      <c r="B15" s="4" t="inlineStr">
        <is>
          <t>2026-07</t>
        </is>
      </c>
      <c r="C15" s="6" t="n">
        <v>225</v>
      </c>
      <c r="D15" s="6" t="n">
        <v>0.54</v>
      </c>
    </row>
    <row r="16">
      <c r="A16" s="4" t="inlineStr">
        <is>
          <t>Revolut - Wealth Build</t>
        </is>
      </c>
      <c r="B16" s="4" t="inlineStr">
        <is>
          <t>2026-08</t>
        </is>
      </c>
      <c r="C16" s="6" t="n">
        <v>-35</v>
      </c>
      <c r="D16" s="6" t="n">
        <v>0</v>
      </c>
    </row>
    <row r="17">
      <c r="A17" s="4" t="inlineStr">
        <is>
          <t>Robinhood</t>
        </is>
      </c>
      <c r="B17" s="4" t="inlineStr">
        <is>
          <t>2026-07</t>
        </is>
      </c>
      <c r="C17" s="6" t="n">
        <v>50</v>
      </c>
      <c r="D17" s="6" t="n">
        <v>0</v>
      </c>
    </row>
    <row r="18">
      <c r="A18" s="4" t="inlineStr">
        <is>
          <t>Robinhood</t>
        </is>
      </c>
      <c r="B18" s="4" t="inlineStr">
        <is>
          <t>2026-08</t>
        </is>
      </c>
      <c r="C18" s="6" t="n">
        <v>500</v>
      </c>
      <c r="D18" s="6" t="n">
        <v>0</v>
      </c>
    </row>
    <row r="19">
      <c r="A19" s="4" t="inlineStr">
        <is>
          <t>Trade Republic Inv. - Brokerage</t>
        </is>
      </c>
      <c r="B19" s="4" t="inlineStr">
        <is>
          <t>2026-01</t>
        </is>
      </c>
      <c r="C19" s="6" t="n">
        <v>341</v>
      </c>
      <c r="D19" s="6" t="n">
        <v>189.53</v>
      </c>
    </row>
    <row r="20">
      <c r="A20" s="4" t="inlineStr">
        <is>
          <t>Trade Republic Inv. - Brokerage</t>
        </is>
      </c>
      <c r="B20" s="4" t="inlineStr">
        <is>
          <t>2026-02</t>
        </is>
      </c>
      <c r="C20" s="6" t="n">
        <v>0</v>
      </c>
      <c r="D20" s="6" t="n">
        <v>0.1</v>
      </c>
    </row>
    <row r="21">
      <c r="A21" s="4" t="inlineStr">
        <is>
          <t>Trade Republic Inv. - Brokerage</t>
        </is>
      </c>
      <c r="B21" s="4" t="inlineStr">
        <is>
          <t>2026-03</t>
        </is>
      </c>
      <c r="C21" s="6" t="n">
        <v>1385</v>
      </c>
      <c r="D21" s="6" t="n">
        <v>-242.81</v>
      </c>
    </row>
    <row r="22">
      <c r="A22" s="4" t="inlineStr">
        <is>
          <t>Trade Republic Inv. - Brokerage</t>
        </is>
      </c>
      <c r="B22" s="4" t="inlineStr">
        <is>
          <t>2026-04</t>
        </is>
      </c>
      <c r="C22" s="6" t="n">
        <v>1557.59</v>
      </c>
      <c r="D22" s="6" t="n">
        <v>913.08</v>
      </c>
    </row>
    <row r="23">
      <c r="A23" s="4" t="inlineStr">
        <is>
          <t>Trade Republic Inv. - Brokerage</t>
        </is>
      </c>
      <c r="B23" s="4" t="inlineStr">
        <is>
          <t>2026-05</t>
        </is>
      </c>
      <c r="C23" s="6" t="n">
        <v>3424.57</v>
      </c>
      <c r="D23" s="6" t="n">
        <v>652.1</v>
      </c>
    </row>
    <row r="24">
      <c r="A24" s="4" t="inlineStr">
        <is>
          <t>Trade Republic Inv. - Brokerage</t>
        </is>
      </c>
      <c r="B24" s="4" t="inlineStr">
        <is>
          <t>2026-06</t>
        </is>
      </c>
      <c r="C24" s="6" t="n">
        <v>2275.52</v>
      </c>
      <c r="D24" s="6" t="n">
        <v>-30.47</v>
      </c>
    </row>
    <row r="25">
      <c r="A25" s="4" t="inlineStr">
        <is>
          <t>Trade Republic Inv. - Brokerage</t>
        </is>
      </c>
      <c r="B25" s="4" t="inlineStr">
        <is>
          <t>2026-07</t>
        </is>
      </c>
      <c r="C25" s="6" t="n">
        <v>1883.58</v>
      </c>
      <c r="D25" s="6" t="n">
        <v>25.93</v>
      </c>
    </row>
    <row r="26">
      <c r="A26" s="4" t="inlineStr">
        <is>
          <t>Trade Republic Inv. - Brokerage</t>
        </is>
      </c>
      <c r="B26" s="4" t="inlineStr">
        <is>
          <t>2026-08</t>
        </is>
      </c>
      <c r="C26" s="6" t="n">
        <v>865.96</v>
      </c>
      <c r="D26" s="6" t="n">
        <v>2.27</v>
      </c>
    </row>
    <row r="27">
      <c r="A27" s="4" t="inlineStr">
        <is>
          <t>Trade Republic Inv. - Crypto</t>
        </is>
      </c>
      <c r="B27" s="4" t="inlineStr">
        <is>
          <t>2026-04</t>
        </is>
      </c>
      <c r="C27" s="6" t="n">
        <v>750.9400000000001</v>
      </c>
      <c r="D27" s="6" t="n">
        <v>15.81</v>
      </c>
    </row>
    <row r="28">
      <c r="A28" s="4" t="inlineStr">
        <is>
          <t>Trade Republic Inv. - Crypto</t>
        </is>
      </c>
      <c r="B28" s="4" t="inlineStr">
        <is>
          <t>2026-05</t>
        </is>
      </c>
      <c r="C28" s="6" t="n">
        <v>0</v>
      </c>
      <c r="D28" s="6" t="n">
        <v>-23.43</v>
      </c>
    </row>
    <row r="29">
      <c r="A29" s="4" t="inlineStr">
        <is>
          <t>Trade Republic Inv. - Crypto</t>
        </is>
      </c>
      <c r="B29" s="4" t="inlineStr">
        <is>
          <t>2026-06</t>
        </is>
      </c>
      <c r="C29" s="6" t="n">
        <v>100</v>
      </c>
      <c r="D29" s="6" t="n">
        <v>-38.09</v>
      </c>
    </row>
    <row r="30">
      <c r="A30" s="4" t="inlineStr">
        <is>
          <t>Trade Republic Inv. - Crypto</t>
        </is>
      </c>
      <c r="B30" s="4" t="inlineStr">
        <is>
          <t>2026-07</t>
        </is>
      </c>
      <c r="C30" s="6" t="n">
        <v>100</v>
      </c>
      <c r="D30" s="6" t="n">
        <v>-49.86</v>
      </c>
    </row>
    <row r="31">
      <c r="A31" s="4" t="inlineStr">
        <is>
          <t>Trade Republic Inv. - Crypto</t>
        </is>
      </c>
      <c r="B31" s="4" t="inlineStr">
        <is>
          <t>2026-08</t>
        </is>
      </c>
      <c r="C31" s="6" t="n">
        <v>100.01</v>
      </c>
      <c r="D31" s="6" t="n">
        <v>0</v>
      </c>
    </row>
    <row r="32">
      <c r="A32" s="4" t="inlineStr">
        <is>
          <t>Trading 212 Account</t>
        </is>
      </c>
      <c r="B32" s="4" t="inlineStr">
        <is>
          <t>2026-06</t>
        </is>
      </c>
      <c r="C32" s="6" t="n">
        <v>100</v>
      </c>
      <c r="D32" s="6" t="n">
        <v>0</v>
      </c>
    </row>
    <row r="33">
      <c r="A33" s="4" t="inlineStr">
        <is>
          <t>Trading 212 Account</t>
        </is>
      </c>
      <c r="B33" s="4" t="inlineStr">
        <is>
          <t>2026-07</t>
        </is>
      </c>
      <c r="C33" s="6" t="n">
        <v>-90</v>
      </c>
      <c r="D33" s="6" t="n">
        <v>0</v>
      </c>
    </row>
    <row r="34">
      <c r="A34" s="3" t="inlineStr">
        <is>
          <t>Total</t>
        </is>
      </c>
      <c r="C34" s="8">
        <f>SUM(C5:C33)</f>
        <v/>
      </c>
      <c r="D34" s="8">
        <f>SUM(D5:D33)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3" customWidth="1" min="2" max="2"/>
    <col width="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Invested capital vs. returns</t>
        </is>
      </c>
    </row>
    <row r="2">
      <c r="A2" s="2" t="inlineStr">
        <is>
          <t>Three blocks: capital you put in, cumulative return, and value (capital + return). Value must equal the same account on the Balances sheet — row 3 of each Value row checks it.</t>
        </is>
      </c>
    </row>
    <row r="4">
      <c r="A4" s="3" t="inlineStr">
        <is>
          <t>Capital invested</t>
        </is>
      </c>
      <c r="E4" s="10" t="inlineStr">
        <is>
          <t>2026-01</t>
        </is>
      </c>
      <c r="F4" s="10" t="inlineStr">
        <is>
          <t>2026-02</t>
        </is>
      </c>
      <c r="G4" s="10" t="inlineStr">
        <is>
          <t>2026-03</t>
        </is>
      </c>
      <c r="H4" s="10" t="inlineStr">
        <is>
          <t>2026-04</t>
        </is>
      </c>
      <c r="I4" s="10" t="inlineStr">
        <is>
          <t>2026-05</t>
        </is>
      </c>
      <c r="J4" s="10" t="inlineStr">
        <is>
          <t>2026-06</t>
        </is>
      </c>
      <c r="K4" s="10" t="inlineStr">
        <is>
          <t>2026-07</t>
        </is>
      </c>
      <c r="L4" s="10" t="inlineStr">
        <is>
          <t>2026-08</t>
        </is>
      </c>
    </row>
    <row r="5">
      <c r="A5" s="13" t="inlineStr">
        <is>
          <t>Account</t>
        </is>
      </c>
      <c r="D5" s="13" t="inlineStr">
        <is>
          <t>1 Jan</t>
        </is>
      </c>
      <c r="E5" s="5" t="inlineStr">
        <is>
          <t>Jan 2026</t>
        </is>
      </c>
      <c r="F5" s="5" t="inlineStr">
        <is>
          <t>Feb 2026</t>
        </is>
      </c>
      <c r="G5" s="5" t="inlineStr">
        <is>
          <t>Mar 2026</t>
        </is>
      </c>
      <c r="H5" s="5" t="inlineStr">
        <is>
          <t>Apr 2026</t>
        </is>
      </c>
      <c r="I5" s="5" t="inlineStr">
        <is>
          <t>May 2026</t>
        </is>
      </c>
      <c r="J5" s="5" t="inlineStr">
        <is>
          <t>Jun 2026</t>
        </is>
      </c>
      <c r="K5" s="5" t="inlineStr">
        <is>
          <t>Jul 2026</t>
        </is>
      </c>
      <c r="L5" s="5" t="inlineStr">
        <is>
          <t>Aug 2026</t>
        </is>
      </c>
    </row>
    <row r="6">
      <c r="A6" s="4" t="inlineStr">
        <is>
          <t>Certificados de Aforro CTT - Série E</t>
        </is>
      </c>
      <c r="D6" s="6" t="n">
        <v>534.73</v>
      </c>
      <c r="E6" s="11">
        <f>D6+SUMIFS('Investment Flows'!$C$5:$C$33,'Investment Flows'!$A$5:$A$33,$A6,'Investment Flows'!$B$5:$B$33,E$4)</f>
        <v/>
      </c>
      <c r="F6" s="11">
        <f>E6+SUMIFS('Investment Flows'!$C$5:$C$33,'Investment Flows'!$A$5:$A$33,$A6,'Investment Flows'!$B$5:$B$33,F$4)</f>
        <v/>
      </c>
      <c r="G6" s="11">
        <f>F6+SUMIFS('Investment Flows'!$C$5:$C$33,'Investment Flows'!$A$5:$A$33,$A6,'Investment Flows'!$B$5:$B$33,G$4)</f>
        <v/>
      </c>
      <c r="H6" s="11">
        <f>G6+SUMIFS('Investment Flows'!$C$5:$C$33,'Investment Flows'!$A$5:$A$33,$A6,'Investment Flows'!$B$5:$B$33,H$4)</f>
        <v/>
      </c>
      <c r="I6" s="11">
        <f>H6+SUMIFS('Investment Flows'!$C$5:$C$33,'Investment Flows'!$A$5:$A$33,$A6,'Investment Flows'!$B$5:$B$33,I$4)</f>
        <v/>
      </c>
      <c r="J6" s="11">
        <f>I6+SUMIFS('Investment Flows'!$C$5:$C$33,'Investment Flows'!$A$5:$A$33,$A6,'Investment Flows'!$B$5:$B$33,J$4)</f>
        <v/>
      </c>
      <c r="K6" s="11">
        <f>J6+SUMIFS('Investment Flows'!$C$5:$C$33,'Investment Flows'!$A$5:$A$33,$A6,'Investment Flows'!$B$5:$B$33,K$4)</f>
        <v/>
      </c>
      <c r="L6" s="11">
        <f>K6+SUMIFS('Investment Flows'!$C$5:$C$33,'Investment Flows'!$A$5:$A$33,$A6,'Investment Flows'!$B$5:$B$33,L$4)</f>
        <v/>
      </c>
    </row>
    <row r="7">
      <c r="A7" s="4" t="inlineStr">
        <is>
          <t>Certificados de Aforro CTT - Série F</t>
        </is>
      </c>
      <c r="D7" s="6" t="n">
        <v>5512.73</v>
      </c>
      <c r="E7" s="11">
        <f>D7+SUMIFS('Investment Flows'!$C$5:$C$33,'Investment Flows'!$A$5:$A$33,$A7,'Investment Flows'!$B$5:$B$33,E$4)</f>
        <v/>
      </c>
      <c r="F7" s="11">
        <f>E7+SUMIFS('Investment Flows'!$C$5:$C$33,'Investment Flows'!$A$5:$A$33,$A7,'Investment Flows'!$B$5:$B$33,F$4)</f>
        <v/>
      </c>
      <c r="G7" s="11">
        <f>F7+SUMIFS('Investment Flows'!$C$5:$C$33,'Investment Flows'!$A$5:$A$33,$A7,'Investment Flows'!$B$5:$B$33,G$4)</f>
        <v/>
      </c>
      <c r="H7" s="11">
        <f>G7+SUMIFS('Investment Flows'!$C$5:$C$33,'Investment Flows'!$A$5:$A$33,$A7,'Investment Flows'!$B$5:$B$33,H$4)</f>
        <v/>
      </c>
      <c r="I7" s="11">
        <f>H7+SUMIFS('Investment Flows'!$C$5:$C$33,'Investment Flows'!$A$5:$A$33,$A7,'Investment Flows'!$B$5:$B$33,I$4)</f>
        <v/>
      </c>
      <c r="J7" s="11">
        <f>I7+SUMIFS('Investment Flows'!$C$5:$C$33,'Investment Flows'!$A$5:$A$33,$A7,'Investment Flows'!$B$5:$B$33,J$4)</f>
        <v/>
      </c>
      <c r="K7" s="11">
        <f>J7+SUMIFS('Investment Flows'!$C$5:$C$33,'Investment Flows'!$A$5:$A$33,$A7,'Investment Flows'!$B$5:$B$33,K$4)</f>
        <v/>
      </c>
      <c r="L7" s="11">
        <f>K7+SUMIFS('Investment Flows'!$C$5:$C$33,'Investment Flows'!$A$5:$A$33,$A7,'Investment Flows'!$B$5:$B$33,L$4)</f>
        <v/>
      </c>
    </row>
    <row r="8">
      <c r="A8" s="4" t="inlineStr">
        <is>
          <t>Revolut - Fundo Emergência</t>
        </is>
      </c>
      <c r="D8" s="6" t="n">
        <v>0</v>
      </c>
      <c r="E8" s="11">
        <f>D8+SUMIFS('Investment Flows'!$C$5:$C$33,'Investment Flows'!$A$5:$A$33,$A8,'Investment Flows'!$B$5:$B$33,E$4)</f>
        <v/>
      </c>
      <c r="F8" s="11">
        <f>E8+SUMIFS('Investment Flows'!$C$5:$C$33,'Investment Flows'!$A$5:$A$33,$A8,'Investment Flows'!$B$5:$B$33,F$4)</f>
        <v/>
      </c>
      <c r="G8" s="11">
        <f>F8+SUMIFS('Investment Flows'!$C$5:$C$33,'Investment Flows'!$A$5:$A$33,$A8,'Investment Flows'!$B$5:$B$33,G$4)</f>
        <v/>
      </c>
      <c r="H8" s="11">
        <f>G8+SUMIFS('Investment Flows'!$C$5:$C$33,'Investment Flows'!$A$5:$A$33,$A8,'Investment Flows'!$B$5:$B$33,H$4)</f>
        <v/>
      </c>
      <c r="I8" s="11">
        <f>H8+SUMIFS('Investment Flows'!$C$5:$C$33,'Investment Flows'!$A$5:$A$33,$A8,'Investment Flows'!$B$5:$B$33,I$4)</f>
        <v/>
      </c>
      <c r="J8" s="11">
        <f>I8+SUMIFS('Investment Flows'!$C$5:$C$33,'Investment Flows'!$A$5:$A$33,$A8,'Investment Flows'!$B$5:$B$33,J$4)</f>
        <v/>
      </c>
      <c r="K8" s="11">
        <f>J8+SUMIFS('Investment Flows'!$C$5:$C$33,'Investment Flows'!$A$5:$A$33,$A8,'Investment Flows'!$B$5:$B$33,K$4)</f>
        <v/>
      </c>
      <c r="L8" s="11">
        <f>K8+SUMIFS('Investment Flows'!$C$5:$C$33,'Investment Flows'!$A$5:$A$33,$A8,'Investment Flows'!$B$5:$B$33,L$4)</f>
        <v/>
      </c>
    </row>
    <row r="9">
      <c r="A9" s="4" t="inlineStr">
        <is>
          <t>Revolut - Wealth Build</t>
        </is>
      </c>
      <c r="D9" s="6" t="n">
        <v>0</v>
      </c>
      <c r="E9" s="11">
        <f>D9+SUMIFS('Investment Flows'!$C$5:$C$33,'Investment Flows'!$A$5:$A$33,$A9,'Investment Flows'!$B$5:$B$33,E$4)</f>
        <v/>
      </c>
      <c r="F9" s="11">
        <f>E9+SUMIFS('Investment Flows'!$C$5:$C$33,'Investment Flows'!$A$5:$A$33,$A9,'Investment Flows'!$B$5:$B$33,F$4)</f>
        <v/>
      </c>
      <c r="G9" s="11">
        <f>F9+SUMIFS('Investment Flows'!$C$5:$C$33,'Investment Flows'!$A$5:$A$33,$A9,'Investment Flows'!$B$5:$B$33,G$4)</f>
        <v/>
      </c>
      <c r="H9" s="11">
        <f>G9+SUMIFS('Investment Flows'!$C$5:$C$33,'Investment Flows'!$A$5:$A$33,$A9,'Investment Flows'!$B$5:$B$33,H$4)</f>
        <v/>
      </c>
      <c r="I9" s="11">
        <f>H9+SUMIFS('Investment Flows'!$C$5:$C$33,'Investment Flows'!$A$5:$A$33,$A9,'Investment Flows'!$B$5:$B$33,I$4)</f>
        <v/>
      </c>
      <c r="J9" s="11">
        <f>I9+SUMIFS('Investment Flows'!$C$5:$C$33,'Investment Flows'!$A$5:$A$33,$A9,'Investment Flows'!$B$5:$B$33,J$4)</f>
        <v/>
      </c>
      <c r="K9" s="11">
        <f>J9+SUMIFS('Investment Flows'!$C$5:$C$33,'Investment Flows'!$A$5:$A$33,$A9,'Investment Flows'!$B$5:$B$33,K$4)</f>
        <v/>
      </c>
      <c r="L9" s="11">
        <f>K9+SUMIFS('Investment Flows'!$C$5:$C$33,'Investment Flows'!$A$5:$A$33,$A9,'Investment Flows'!$B$5:$B$33,L$4)</f>
        <v/>
      </c>
    </row>
    <row r="10">
      <c r="A10" s="4" t="inlineStr">
        <is>
          <t>Robinhood</t>
        </is>
      </c>
      <c r="D10" s="6" t="n">
        <v>0</v>
      </c>
      <c r="E10" s="11">
        <f>D10+SUMIFS('Investment Flows'!$C$5:$C$33,'Investment Flows'!$A$5:$A$33,$A10,'Investment Flows'!$B$5:$B$33,E$4)</f>
        <v/>
      </c>
      <c r="F10" s="11">
        <f>E10+SUMIFS('Investment Flows'!$C$5:$C$33,'Investment Flows'!$A$5:$A$33,$A10,'Investment Flows'!$B$5:$B$33,F$4)</f>
        <v/>
      </c>
      <c r="G10" s="11">
        <f>F10+SUMIFS('Investment Flows'!$C$5:$C$33,'Investment Flows'!$A$5:$A$33,$A10,'Investment Flows'!$B$5:$B$33,G$4)</f>
        <v/>
      </c>
      <c r="H10" s="11">
        <f>G10+SUMIFS('Investment Flows'!$C$5:$C$33,'Investment Flows'!$A$5:$A$33,$A10,'Investment Flows'!$B$5:$B$33,H$4)</f>
        <v/>
      </c>
      <c r="I10" s="11">
        <f>H10+SUMIFS('Investment Flows'!$C$5:$C$33,'Investment Flows'!$A$5:$A$33,$A10,'Investment Flows'!$B$5:$B$33,I$4)</f>
        <v/>
      </c>
      <c r="J10" s="11">
        <f>I10+SUMIFS('Investment Flows'!$C$5:$C$33,'Investment Flows'!$A$5:$A$33,$A10,'Investment Flows'!$B$5:$B$33,J$4)</f>
        <v/>
      </c>
      <c r="K10" s="11">
        <f>J10+SUMIFS('Investment Flows'!$C$5:$C$33,'Investment Flows'!$A$5:$A$33,$A10,'Investment Flows'!$B$5:$B$33,K$4)</f>
        <v/>
      </c>
      <c r="L10" s="11">
        <f>K10+SUMIFS('Investment Flows'!$C$5:$C$33,'Investment Flows'!$A$5:$A$33,$A10,'Investment Flows'!$B$5:$B$33,L$4)</f>
        <v/>
      </c>
    </row>
    <row r="11">
      <c r="A11" s="4" t="inlineStr">
        <is>
          <t>Trade Republic Inv. - Brokerage</t>
        </is>
      </c>
      <c r="D11" s="6" t="n">
        <v>7687.87</v>
      </c>
      <c r="E11" s="11">
        <f>D11+SUMIFS('Investment Flows'!$C$5:$C$33,'Investment Flows'!$A$5:$A$33,$A11,'Investment Flows'!$B$5:$B$33,E$4)</f>
        <v/>
      </c>
      <c r="F11" s="11">
        <f>E11+SUMIFS('Investment Flows'!$C$5:$C$33,'Investment Flows'!$A$5:$A$33,$A11,'Investment Flows'!$B$5:$B$33,F$4)</f>
        <v/>
      </c>
      <c r="G11" s="11">
        <f>F11+SUMIFS('Investment Flows'!$C$5:$C$33,'Investment Flows'!$A$5:$A$33,$A11,'Investment Flows'!$B$5:$B$33,G$4)</f>
        <v/>
      </c>
      <c r="H11" s="11">
        <f>G11+SUMIFS('Investment Flows'!$C$5:$C$33,'Investment Flows'!$A$5:$A$33,$A11,'Investment Flows'!$B$5:$B$33,H$4)</f>
        <v/>
      </c>
      <c r="I11" s="11">
        <f>H11+SUMIFS('Investment Flows'!$C$5:$C$33,'Investment Flows'!$A$5:$A$33,$A11,'Investment Flows'!$B$5:$B$33,I$4)</f>
        <v/>
      </c>
      <c r="J11" s="11">
        <f>I11+SUMIFS('Investment Flows'!$C$5:$C$33,'Investment Flows'!$A$5:$A$33,$A11,'Investment Flows'!$B$5:$B$33,J$4)</f>
        <v/>
      </c>
      <c r="K11" s="11">
        <f>J11+SUMIFS('Investment Flows'!$C$5:$C$33,'Investment Flows'!$A$5:$A$33,$A11,'Investment Flows'!$B$5:$B$33,K$4)</f>
        <v/>
      </c>
      <c r="L11" s="11">
        <f>K11+SUMIFS('Investment Flows'!$C$5:$C$33,'Investment Flows'!$A$5:$A$33,$A11,'Investment Flows'!$B$5:$B$33,L$4)</f>
        <v/>
      </c>
    </row>
    <row r="12">
      <c r="A12" s="4" t="inlineStr">
        <is>
          <t>Trade Republic Inv. - Crypto</t>
        </is>
      </c>
      <c r="D12" s="6" t="n">
        <v>0</v>
      </c>
      <c r="E12" s="11">
        <f>D12+SUMIFS('Investment Flows'!$C$5:$C$33,'Investment Flows'!$A$5:$A$33,$A12,'Investment Flows'!$B$5:$B$33,E$4)</f>
        <v/>
      </c>
      <c r="F12" s="11">
        <f>E12+SUMIFS('Investment Flows'!$C$5:$C$33,'Investment Flows'!$A$5:$A$33,$A12,'Investment Flows'!$B$5:$B$33,F$4)</f>
        <v/>
      </c>
      <c r="G12" s="11">
        <f>F12+SUMIFS('Investment Flows'!$C$5:$C$33,'Investment Flows'!$A$5:$A$33,$A12,'Investment Flows'!$B$5:$B$33,G$4)</f>
        <v/>
      </c>
      <c r="H12" s="11">
        <f>G12+SUMIFS('Investment Flows'!$C$5:$C$33,'Investment Flows'!$A$5:$A$33,$A12,'Investment Flows'!$B$5:$B$33,H$4)</f>
        <v/>
      </c>
      <c r="I12" s="11">
        <f>H12+SUMIFS('Investment Flows'!$C$5:$C$33,'Investment Flows'!$A$5:$A$33,$A12,'Investment Flows'!$B$5:$B$33,I$4)</f>
        <v/>
      </c>
      <c r="J12" s="11">
        <f>I12+SUMIFS('Investment Flows'!$C$5:$C$33,'Investment Flows'!$A$5:$A$33,$A12,'Investment Flows'!$B$5:$B$33,J$4)</f>
        <v/>
      </c>
      <c r="K12" s="11">
        <f>J12+SUMIFS('Investment Flows'!$C$5:$C$33,'Investment Flows'!$A$5:$A$33,$A12,'Investment Flows'!$B$5:$B$33,K$4)</f>
        <v/>
      </c>
      <c r="L12" s="11">
        <f>K12+SUMIFS('Investment Flows'!$C$5:$C$33,'Investment Flows'!$A$5:$A$33,$A12,'Investment Flows'!$B$5:$B$33,L$4)</f>
        <v/>
      </c>
    </row>
    <row r="13">
      <c r="A13" s="4" t="inlineStr">
        <is>
          <t>Trading 212 Account</t>
        </is>
      </c>
      <c r="D13" s="6" t="n">
        <v>0</v>
      </c>
      <c r="E13" s="11">
        <f>D13+SUMIFS('Investment Flows'!$C$5:$C$33,'Investment Flows'!$A$5:$A$33,$A13,'Investment Flows'!$B$5:$B$33,E$4)</f>
        <v/>
      </c>
      <c r="F13" s="11">
        <f>E13+SUMIFS('Investment Flows'!$C$5:$C$33,'Investment Flows'!$A$5:$A$33,$A13,'Investment Flows'!$B$5:$B$33,F$4)</f>
        <v/>
      </c>
      <c r="G13" s="11">
        <f>F13+SUMIFS('Investment Flows'!$C$5:$C$33,'Investment Flows'!$A$5:$A$33,$A13,'Investment Flows'!$B$5:$B$33,G$4)</f>
        <v/>
      </c>
      <c r="H13" s="11">
        <f>G13+SUMIFS('Investment Flows'!$C$5:$C$33,'Investment Flows'!$A$5:$A$33,$A13,'Investment Flows'!$B$5:$B$33,H$4)</f>
        <v/>
      </c>
      <c r="I13" s="11">
        <f>H13+SUMIFS('Investment Flows'!$C$5:$C$33,'Investment Flows'!$A$5:$A$33,$A13,'Investment Flows'!$B$5:$B$33,I$4)</f>
        <v/>
      </c>
      <c r="J13" s="11">
        <f>I13+SUMIFS('Investment Flows'!$C$5:$C$33,'Investment Flows'!$A$5:$A$33,$A13,'Investment Flows'!$B$5:$B$33,J$4)</f>
        <v/>
      </c>
      <c r="K13" s="11">
        <f>J13+SUMIFS('Investment Flows'!$C$5:$C$33,'Investment Flows'!$A$5:$A$33,$A13,'Investment Flows'!$B$5:$B$33,K$4)</f>
        <v/>
      </c>
      <c r="L13" s="11">
        <f>K13+SUMIFS('Investment Flows'!$C$5:$C$33,'Investment Flows'!$A$5:$A$33,$A13,'Investment Flows'!$B$5:$B$33,L$4)</f>
        <v/>
      </c>
    </row>
    <row r="14">
      <c r="A14" s="3" t="inlineStr">
        <is>
          <t>Portfolio</t>
        </is>
      </c>
      <c r="D14" s="8">
        <f>SUM(D6:D13)</f>
        <v/>
      </c>
      <c r="E14" s="8">
        <f>SUM(E6:E13)</f>
        <v/>
      </c>
      <c r="F14" s="8">
        <f>SUM(F6:F13)</f>
        <v/>
      </c>
      <c r="G14" s="8">
        <f>SUM(G6:G13)</f>
        <v/>
      </c>
      <c r="H14" s="8">
        <f>SUM(H6:H13)</f>
        <v/>
      </c>
      <c r="I14" s="8">
        <f>SUM(I6:I13)</f>
        <v/>
      </c>
      <c r="J14" s="8">
        <f>SUM(J6:J13)</f>
        <v/>
      </c>
      <c r="K14" s="8">
        <f>SUM(K6:K13)</f>
        <v/>
      </c>
      <c r="L14" s="8">
        <f>SUM(L6:L13)</f>
        <v/>
      </c>
    </row>
    <row r="17">
      <c r="A17" s="3" t="inlineStr">
        <is>
          <t>Cumulative return</t>
        </is>
      </c>
      <c r="E17" s="10" t="inlineStr">
        <is>
          <t>2026-01</t>
        </is>
      </c>
      <c r="F17" s="10" t="inlineStr">
        <is>
          <t>2026-02</t>
        </is>
      </c>
      <c r="G17" s="10" t="inlineStr">
        <is>
          <t>2026-03</t>
        </is>
      </c>
      <c r="H17" s="10" t="inlineStr">
        <is>
          <t>2026-04</t>
        </is>
      </c>
      <c r="I17" s="10" t="inlineStr">
        <is>
          <t>2026-05</t>
        </is>
      </c>
      <c r="J17" s="10" t="inlineStr">
        <is>
          <t>2026-06</t>
        </is>
      </c>
      <c r="K17" s="10" t="inlineStr">
        <is>
          <t>2026-07</t>
        </is>
      </c>
      <c r="L17" s="10" t="inlineStr">
        <is>
          <t>2026-08</t>
        </is>
      </c>
    </row>
    <row r="18">
      <c r="A18" s="13" t="inlineStr">
        <is>
          <t>Account</t>
        </is>
      </c>
      <c r="D18" s="13" t="inlineStr">
        <is>
          <t>1 Jan</t>
        </is>
      </c>
      <c r="E18" s="5" t="inlineStr">
        <is>
          <t>Jan 2026</t>
        </is>
      </c>
      <c r="F18" s="5" t="inlineStr">
        <is>
          <t>Feb 2026</t>
        </is>
      </c>
      <c r="G18" s="5" t="inlineStr">
        <is>
          <t>Mar 2026</t>
        </is>
      </c>
      <c r="H18" s="5" t="inlineStr">
        <is>
          <t>Apr 2026</t>
        </is>
      </c>
      <c r="I18" s="5" t="inlineStr">
        <is>
          <t>May 2026</t>
        </is>
      </c>
      <c r="J18" s="5" t="inlineStr">
        <is>
          <t>Jun 2026</t>
        </is>
      </c>
      <c r="K18" s="5" t="inlineStr">
        <is>
          <t>Jul 2026</t>
        </is>
      </c>
      <c r="L18" s="5" t="inlineStr">
        <is>
          <t>Aug 2026</t>
        </is>
      </c>
    </row>
    <row r="19">
      <c r="A19" s="4" t="inlineStr">
        <is>
          <t>Certificados de Aforro CTT - Série E</t>
        </is>
      </c>
      <c r="D19" s="6" t="n">
        <v>0</v>
      </c>
      <c r="E19" s="11">
        <f>D19+SUMIFS('Investment Flows'!$D$5:$D$33,'Investment Flows'!$A$5:$A$33,$A19,'Investment Flows'!$B$5:$B$33,E$17)</f>
        <v/>
      </c>
      <c r="F19" s="11">
        <f>E19+SUMIFS('Investment Flows'!$D$5:$D$33,'Investment Flows'!$A$5:$A$33,$A19,'Investment Flows'!$B$5:$B$33,F$17)</f>
        <v/>
      </c>
      <c r="G19" s="11">
        <f>F19+SUMIFS('Investment Flows'!$D$5:$D$33,'Investment Flows'!$A$5:$A$33,$A19,'Investment Flows'!$B$5:$B$33,G$17)</f>
        <v/>
      </c>
      <c r="H19" s="11">
        <f>G19+SUMIFS('Investment Flows'!$D$5:$D$33,'Investment Flows'!$A$5:$A$33,$A19,'Investment Flows'!$B$5:$B$33,H$17)</f>
        <v/>
      </c>
      <c r="I19" s="11">
        <f>H19+SUMIFS('Investment Flows'!$D$5:$D$33,'Investment Flows'!$A$5:$A$33,$A19,'Investment Flows'!$B$5:$B$33,I$17)</f>
        <v/>
      </c>
      <c r="J19" s="11">
        <f>I19+SUMIFS('Investment Flows'!$D$5:$D$33,'Investment Flows'!$A$5:$A$33,$A19,'Investment Flows'!$B$5:$B$33,J$17)</f>
        <v/>
      </c>
      <c r="K19" s="11">
        <f>J19+SUMIFS('Investment Flows'!$D$5:$D$33,'Investment Flows'!$A$5:$A$33,$A19,'Investment Flows'!$B$5:$B$33,K$17)</f>
        <v/>
      </c>
      <c r="L19" s="11">
        <f>K19+SUMIFS('Investment Flows'!$D$5:$D$33,'Investment Flows'!$A$5:$A$33,$A19,'Investment Flows'!$B$5:$B$33,L$17)</f>
        <v/>
      </c>
    </row>
    <row r="20">
      <c r="A20" s="4" t="inlineStr">
        <is>
          <t>Certificados de Aforro CTT - Série F</t>
        </is>
      </c>
      <c r="D20" s="6" t="n">
        <v>0</v>
      </c>
      <c r="E20" s="11">
        <f>D20+SUMIFS('Investment Flows'!$D$5:$D$33,'Investment Flows'!$A$5:$A$33,$A20,'Investment Flows'!$B$5:$B$33,E$17)</f>
        <v/>
      </c>
      <c r="F20" s="11">
        <f>E20+SUMIFS('Investment Flows'!$D$5:$D$33,'Investment Flows'!$A$5:$A$33,$A20,'Investment Flows'!$B$5:$B$33,F$17)</f>
        <v/>
      </c>
      <c r="G20" s="11">
        <f>F20+SUMIFS('Investment Flows'!$D$5:$D$33,'Investment Flows'!$A$5:$A$33,$A20,'Investment Flows'!$B$5:$B$33,G$17)</f>
        <v/>
      </c>
      <c r="H20" s="11">
        <f>G20+SUMIFS('Investment Flows'!$D$5:$D$33,'Investment Flows'!$A$5:$A$33,$A20,'Investment Flows'!$B$5:$B$33,H$17)</f>
        <v/>
      </c>
      <c r="I20" s="11">
        <f>H20+SUMIFS('Investment Flows'!$D$5:$D$33,'Investment Flows'!$A$5:$A$33,$A20,'Investment Flows'!$B$5:$B$33,I$17)</f>
        <v/>
      </c>
      <c r="J20" s="11">
        <f>I20+SUMIFS('Investment Flows'!$D$5:$D$33,'Investment Flows'!$A$5:$A$33,$A20,'Investment Flows'!$B$5:$B$33,J$17)</f>
        <v/>
      </c>
      <c r="K20" s="11">
        <f>J20+SUMIFS('Investment Flows'!$D$5:$D$33,'Investment Flows'!$A$5:$A$33,$A20,'Investment Flows'!$B$5:$B$33,K$17)</f>
        <v/>
      </c>
      <c r="L20" s="11">
        <f>K20+SUMIFS('Investment Flows'!$D$5:$D$33,'Investment Flows'!$A$5:$A$33,$A20,'Investment Flows'!$B$5:$B$33,L$17)</f>
        <v/>
      </c>
    </row>
    <row r="21">
      <c r="A21" s="4" t="inlineStr">
        <is>
          <t>Revolut - Fundo Emergência</t>
        </is>
      </c>
      <c r="D21" s="6" t="n">
        <v>0</v>
      </c>
      <c r="E21" s="11">
        <f>D21+SUMIFS('Investment Flows'!$D$5:$D$33,'Investment Flows'!$A$5:$A$33,$A21,'Investment Flows'!$B$5:$B$33,E$17)</f>
        <v/>
      </c>
      <c r="F21" s="11">
        <f>E21+SUMIFS('Investment Flows'!$D$5:$D$33,'Investment Flows'!$A$5:$A$33,$A21,'Investment Flows'!$B$5:$B$33,F$17)</f>
        <v/>
      </c>
      <c r="G21" s="11">
        <f>F21+SUMIFS('Investment Flows'!$D$5:$D$33,'Investment Flows'!$A$5:$A$33,$A21,'Investment Flows'!$B$5:$B$33,G$17)</f>
        <v/>
      </c>
      <c r="H21" s="11">
        <f>G21+SUMIFS('Investment Flows'!$D$5:$D$33,'Investment Flows'!$A$5:$A$33,$A21,'Investment Flows'!$B$5:$B$33,H$17)</f>
        <v/>
      </c>
      <c r="I21" s="11">
        <f>H21+SUMIFS('Investment Flows'!$D$5:$D$33,'Investment Flows'!$A$5:$A$33,$A21,'Investment Flows'!$B$5:$B$33,I$17)</f>
        <v/>
      </c>
      <c r="J21" s="11">
        <f>I21+SUMIFS('Investment Flows'!$D$5:$D$33,'Investment Flows'!$A$5:$A$33,$A21,'Investment Flows'!$B$5:$B$33,J$17)</f>
        <v/>
      </c>
      <c r="K21" s="11">
        <f>J21+SUMIFS('Investment Flows'!$D$5:$D$33,'Investment Flows'!$A$5:$A$33,$A21,'Investment Flows'!$B$5:$B$33,K$17)</f>
        <v/>
      </c>
      <c r="L21" s="11">
        <f>K21+SUMIFS('Investment Flows'!$D$5:$D$33,'Investment Flows'!$A$5:$A$33,$A21,'Investment Flows'!$B$5:$B$33,L$17)</f>
        <v/>
      </c>
    </row>
    <row r="22">
      <c r="A22" s="4" t="inlineStr">
        <is>
          <t>Revolut - Wealth Build</t>
        </is>
      </c>
      <c r="D22" s="6" t="n">
        <v>0</v>
      </c>
      <c r="E22" s="11">
        <f>D22+SUMIFS('Investment Flows'!$D$5:$D$33,'Investment Flows'!$A$5:$A$33,$A22,'Investment Flows'!$B$5:$B$33,E$17)</f>
        <v/>
      </c>
      <c r="F22" s="11">
        <f>E22+SUMIFS('Investment Flows'!$D$5:$D$33,'Investment Flows'!$A$5:$A$33,$A22,'Investment Flows'!$B$5:$B$33,F$17)</f>
        <v/>
      </c>
      <c r="G22" s="11">
        <f>F22+SUMIFS('Investment Flows'!$D$5:$D$33,'Investment Flows'!$A$5:$A$33,$A22,'Investment Flows'!$B$5:$B$33,G$17)</f>
        <v/>
      </c>
      <c r="H22" s="11">
        <f>G22+SUMIFS('Investment Flows'!$D$5:$D$33,'Investment Flows'!$A$5:$A$33,$A22,'Investment Flows'!$B$5:$B$33,H$17)</f>
        <v/>
      </c>
      <c r="I22" s="11">
        <f>H22+SUMIFS('Investment Flows'!$D$5:$D$33,'Investment Flows'!$A$5:$A$33,$A22,'Investment Flows'!$B$5:$B$33,I$17)</f>
        <v/>
      </c>
      <c r="J22" s="11">
        <f>I22+SUMIFS('Investment Flows'!$D$5:$D$33,'Investment Flows'!$A$5:$A$33,$A22,'Investment Flows'!$B$5:$B$33,J$17)</f>
        <v/>
      </c>
      <c r="K22" s="11">
        <f>J22+SUMIFS('Investment Flows'!$D$5:$D$33,'Investment Flows'!$A$5:$A$33,$A22,'Investment Flows'!$B$5:$B$33,K$17)</f>
        <v/>
      </c>
      <c r="L22" s="11">
        <f>K22+SUMIFS('Investment Flows'!$D$5:$D$33,'Investment Flows'!$A$5:$A$33,$A22,'Investment Flows'!$B$5:$B$33,L$17)</f>
        <v/>
      </c>
    </row>
    <row r="23">
      <c r="A23" s="4" t="inlineStr">
        <is>
          <t>Robinhood</t>
        </is>
      </c>
      <c r="D23" s="6" t="n">
        <v>0</v>
      </c>
      <c r="E23" s="11">
        <f>D23+SUMIFS('Investment Flows'!$D$5:$D$33,'Investment Flows'!$A$5:$A$33,$A23,'Investment Flows'!$B$5:$B$33,E$17)</f>
        <v/>
      </c>
      <c r="F23" s="11">
        <f>E23+SUMIFS('Investment Flows'!$D$5:$D$33,'Investment Flows'!$A$5:$A$33,$A23,'Investment Flows'!$B$5:$B$33,F$17)</f>
        <v/>
      </c>
      <c r="G23" s="11">
        <f>F23+SUMIFS('Investment Flows'!$D$5:$D$33,'Investment Flows'!$A$5:$A$33,$A23,'Investment Flows'!$B$5:$B$33,G$17)</f>
        <v/>
      </c>
      <c r="H23" s="11">
        <f>G23+SUMIFS('Investment Flows'!$D$5:$D$33,'Investment Flows'!$A$5:$A$33,$A23,'Investment Flows'!$B$5:$B$33,H$17)</f>
        <v/>
      </c>
      <c r="I23" s="11">
        <f>H23+SUMIFS('Investment Flows'!$D$5:$D$33,'Investment Flows'!$A$5:$A$33,$A23,'Investment Flows'!$B$5:$B$33,I$17)</f>
        <v/>
      </c>
      <c r="J23" s="11">
        <f>I23+SUMIFS('Investment Flows'!$D$5:$D$33,'Investment Flows'!$A$5:$A$33,$A23,'Investment Flows'!$B$5:$B$33,J$17)</f>
        <v/>
      </c>
      <c r="K23" s="11">
        <f>J23+SUMIFS('Investment Flows'!$D$5:$D$33,'Investment Flows'!$A$5:$A$33,$A23,'Investment Flows'!$B$5:$B$33,K$17)</f>
        <v/>
      </c>
      <c r="L23" s="11">
        <f>K23+SUMIFS('Investment Flows'!$D$5:$D$33,'Investment Flows'!$A$5:$A$33,$A23,'Investment Flows'!$B$5:$B$33,L$17)</f>
        <v/>
      </c>
    </row>
    <row r="24">
      <c r="A24" s="4" t="inlineStr">
        <is>
          <t>Trade Republic Inv. - Brokerage</t>
        </is>
      </c>
      <c r="D24" s="6" t="n">
        <v>0</v>
      </c>
      <c r="E24" s="11">
        <f>D24+SUMIFS('Investment Flows'!$D$5:$D$33,'Investment Flows'!$A$5:$A$33,$A24,'Investment Flows'!$B$5:$B$33,E$17)</f>
        <v/>
      </c>
      <c r="F24" s="11">
        <f>E24+SUMIFS('Investment Flows'!$D$5:$D$33,'Investment Flows'!$A$5:$A$33,$A24,'Investment Flows'!$B$5:$B$33,F$17)</f>
        <v/>
      </c>
      <c r="G24" s="11">
        <f>F24+SUMIFS('Investment Flows'!$D$5:$D$33,'Investment Flows'!$A$5:$A$33,$A24,'Investment Flows'!$B$5:$B$33,G$17)</f>
        <v/>
      </c>
      <c r="H24" s="11">
        <f>G24+SUMIFS('Investment Flows'!$D$5:$D$33,'Investment Flows'!$A$5:$A$33,$A24,'Investment Flows'!$B$5:$B$33,H$17)</f>
        <v/>
      </c>
      <c r="I24" s="11">
        <f>H24+SUMIFS('Investment Flows'!$D$5:$D$33,'Investment Flows'!$A$5:$A$33,$A24,'Investment Flows'!$B$5:$B$33,I$17)</f>
        <v/>
      </c>
      <c r="J24" s="11">
        <f>I24+SUMIFS('Investment Flows'!$D$5:$D$33,'Investment Flows'!$A$5:$A$33,$A24,'Investment Flows'!$B$5:$B$33,J$17)</f>
        <v/>
      </c>
      <c r="K24" s="11">
        <f>J24+SUMIFS('Investment Flows'!$D$5:$D$33,'Investment Flows'!$A$5:$A$33,$A24,'Investment Flows'!$B$5:$B$33,K$17)</f>
        <v/>
      </c>
      <c r="L24" s="11">
        <f>K24+SUMIFS('Investment Flows'!$D$5:$D$33,'Investment Flows'!$A$5:$A$33,$A24,'Investment Flows'!$B$5:$B$33,L$17)</f>
        <v/>
      </c>
    </row>
    <row r="25">
      <c r="A25" s="4" t="inlineStr">
        <is>
          <t>Trade Republic Inv. - Crypto</t>
        </is>
      </c>
      <c r="D25" s="6" t="n">
        <v>0</v>
      </c>
      <c r="E25" s="11">
        <f>D25+SUMIFS('Investment Flows'!$D$5:$D$33,'Investment Flows'!$A$5:$A$33,$A25,'Investment Flows'!$B$5:$B$33,E$17)</f>
        <v/>
      </c>
      <c r="F25" s="11">
        <f>E25+SUMIFS('Investment Flows'!$D$5:$D$33,'Investment Flows'!$A$5:$A$33,$A25,'Investment Flows'!$B$5:$B$33,F$17)</f>
        <v/>
      </c>
      <c r="G25" s="11">
        <f>F25+SUMIFS('Investment Flows'!$D$5:$D$33,'Investment Flows'!$A$5:$A$33,$A25,'Investment Flows'!$B$5:$B$33,G$17)</f>
        <v/>
      </c>
      <c r="H25" s="11">
        <f>G25+SUMIFS('Investment Flows'!$D$5:$D$33,'Investment Flows'!$A$5:$A$33,$A25,'Investment Flows'!$B$5:$B$33,H$17)</f>
        <v/>
      </c>
      <c r="I25" s="11">
        <f>H25+SUMIFS('Investment Flows'!$D$5:$D$33,'Investment Flows'!$A$5:$A$33,$A25,'Investment Flows'!$B$5:$B$33,I$17)</f>
        <v/>
      </c>
      <c r="J25" s="11">
        <f>I25+SUMIFS('Investment Flows'!$D$5:$D$33,'Investment Flows'!$A$5:$A$33,$A25,'Investment Flows'!$B$5:$B$33,J$17)</f>
        <v/>
      </c>
      <c r="K25" s="11">
        <f>J25+SUMIFS('Investment Flows'!$D$5:$D$33,'Investment Flows'!$A$5:$A$33,$A25,'Investment Flows'!$B$5:$B$33,K$17)</f>
        <v/>
      </c>
      <c r="L25" s="11">
        <f>K25+SUMIFS('Investment Flows'!$D$5:$D$33,'Investment Flows'!$A$5:$A$33,$A25,'Investment Flows'!$B$5:$B$33,L$17)</f>
        <v/>
      </c>
    </row>
    <row r="26">
      <c r="A26" s="4" t="inlineStr">
        <is>
          <t>Trading 212 Account</t>
        </is>
      </c>
      <c r="D26" s="6" t="n">
        <v>0</v>
      </c>
      <c r="E26" s="11">
        <f>D26+SUMIFS('Investment Flows'!$D$5:$D$33,'Investment Flows'!$A$5:$A$33,$A26,'Investment Flows'!$B$5:$B$33,E$17)</f>
        <v/>
      </c>
      <c r="F26" s="11">
        <f>E26+SUMIFS('Investment Flows'!$D$5:$D$33,'Investment Flows'!$A$5:$A$33,$A26,'Investment Flows'!$B$5:$B$33,F$17)</f>
        <v/>
      </c>
      <c r="G26" s="11">
        <f>F26+SUMIFS('Investment Flows'!$D$5:$D$33,'Investment Flows'!$A$5:$A$33,$A26,'Investment Flows'!$B$5:$B$33,G$17)</f>
        <v/>
      </c>
      <c r="H26" s="11">
        <f>G26+SUMIFS('Investment Flows'!$D$5:$D$33,'Investment Flows'!$A$5:$A$33,$A26,'Investment Flows'!$B$5:$B$33,H$17)</f>
        <v/>
      </c>
      <c r="I26" s="11">
        <f>H26+SUMIFS('Investment Flows'!$D$5:$D$33,'Investment Flows'!$A$5:$A$33,$A26,'Investment Flows'!$B$5:$B$33,I$17)</f>
        <v/>
      </c>
      <c r="J26" s="11">
        <f>I26+SUMIFS('Investment Flows'!$D$5:$D$33,'Investment Flows'!$A$5:$A$33,$A26,'Investment Flows'!$B$5:$B$33,J$17)</f>
        <v/>
      </c>
      <c r="K26" s="11">
        <f>J26+SUMIFS('Investment Flows'!$D$5:$D$33,'Investment Flows'!$A$5:$A$33,$A26,'Investment Flows'!$B$5:$B$33,K$17)</f>
        <v/>
      </c>
      <c r="L26" s="11">
        <f>K26+SUMIFS('Investment Flows'!$D$5:$D$33,'Investment Flows'!$A$5:$A$33,$A26,'Investment Flows'!$B$5:$B$33,L$17)</f>
        <v/>
      </c>
    </row>
    <row r="27">
      <c r="A27" s="3" t="inlineStr">
        <is>
          <t>Portfolio</t>
        </is>
      </c>
      <c r="D27" s="8">
        <f>SUM(D19:D26)</f>
        <v/>
      </c>
      <c r="E27" s="8">
        <f>SUM(E19:E26)</f>
        <v/>
      </c>
      <c r="F27" s="8">
        <f>SUM(F19:F26)</f>
        <v/>
      </c>
      <c r="G27" s="8">
        <f>SUM(G19:G26)</f>
        <v/>
      </c>
      <c r="H27" s="8">
        <f>SUM(H19:H26)</f>
        <v/>
      </c>
      <c r="I27" s="8">
        <f>SUM(I19:I26)</f>
        <v/>
      </c>
      <c r="J27" s="8">
        <f>SUM(J19:J26)</f>
        <v/>
      </c>
      <c r="K27" s="8">
        <f>SUM(K19:K26)</f>
        <v/>
      </c>
      <c r="L27" s="8">
        <f>SUM(L19:L26)</f>
        <v/>
      </c>
    </row>
    <row r="30">
      <c r="A30" s="3" t="inlineStr">
        <is>
          <t>Portfolio value</t>
        </is>
      </c>
      <c r="E30" s="10" t="inlineStr">
        <is>
          <t>2026-01</t>
        </is>
      </c>
      <c r="F30" s="10" t="inlineStr">
        <is>
          <t>2026-02</t>
        </is>
      </c>
      <c r="G30" s="10" t="inlineStr">
        <is>
          <t>2026-03</t>
        </is>
      </c>
      <c r="H30" s="10" t="inlineStr">
        <is>
          <t>2026-04</t>
        </is>
      </c>
      <c r="I30" s="10" t="inlineStr">
        <is>
          <t>2026-05</t>
        </is>
      </c>
      <c r="J30" s="10" t="inlineStr">
        <is>
          <t>2026-06</t>
        </is>
      </c>
      <c r="K30" s="10" t="inlineStr">
        <is>
          <t>2026-07</t>
        </is>
      </c>
      <c r="L30" s="10" t="inlineStr">
        <is>
          <t>2026-08</t>
        </is>
      </c>
    </row>
    <row r="31">
      <c r="A31" s="13" t="inlineStr">
        <is>
          <t>Account</t>
        </is>
      </c>
      <c r="D31" s="13" t="inlineStr">
        <is>
          <t>1 Jan</t>
        </is>
      </c>
      <c r="E31" s="5" t="inlineStr">
        <is>
          <t>Jan 2026</t>
        </is>
      </c>
      <c r="F31" s="5" t="inlineStr">
        <is>
          <t>Feb 2026</t>
        </is>
      </c>
      <c r="G31" s="5" t="inlineStr">
        <is>
          <t>Mar 2026</t>
        </is>
      </c>
      <c r="H31" s="5" t="inlineStr">
        <is>
          <t>Apr 2026</t>
        </is>
      </c>
      <c r="I31" s="5" t="inlineStr">
        <is>
          <t>May 2026</t>
        </is>
      </c>
      <c r="J31" s="5" t="inlineStr">
        <is>
          <t>Jun 2026</t>
        </is>
      </c>
      <c r="K31" s="5" t="inlineStr">
        <is>
          <t>Jul 2026</t>
        </is>
      </c>
      <c r="L31" s="5" t="inlineStr">
        <is>
          <t>Aug 2026</t>
        </is>
      </c>
    </row>
    <row r="32">
      <c r="A32" s="4" t="inlineStr">
        <is>
          <t>Certificados de Aforro CTT - Série E</t>
        </is>
      </c>
      <c r="D32" s="11">
        <f>D6+D19</f>
        <v/>
      </c>
      <c r="E32" s="11">
        <f>E6+E19</f>
        <v/>
      </c>
      <c r="F32" s="11">
        <f>F6+F19</f>
        <v/>
      </c>
      <c r="G32" s="11">
        <f>G6+G19</f>
        <v/>
      </c>
      <c r="H32" s="11">
        <f>H6+H19</f>
        <v/>
      </c>
      <c r="I32" s="11">
        <f>I6+I19</f>
        <v/>
      </c>
      <c r="J32" s="11">
        <f>J6+J19</f>
        <v/>
      </c>
      <c r="K32" s="11">
        <f>K6+K19</f>
        <v/>
      </c>
      <c r="L32" s="11">
        <f>L6+L19</f>
        <v/>
      </c>
    </row>
    <row r="33">
      <c r="A33" s="4" t="inlineStr">
        <is>
          <t>Certificados de Aforro CTT - Série F</t>
        </is>
      </c>
      <c r="D33" s="11">
        <f>D7+D20</f>
        <v/>
      </c>
      <c r="E33" s="11">
        <f>E7+E20</f>
        <v/>
      </c>
      <c r="F33" s="11">
        <f>F7+F20</f>
        <v/>
      </c>
      <c r="G33" s="11">
        <f>G7+G20</f>
        <v/>
      </c>
      <c r="H33" s="11">
        <f>H7+H20</f>
        <v/>
      </c>
      <c r="I33" s="11">
        <f>I7+I20</f>
        <v/>
      </c>
      <c r="J33" s="11">
        <f>J7+J20</f>
        <v/>
      </c>
      <c r="K33" s="11">
        <f>K7+K20</f>
        <v/>
      </c>
      <c r="L33" s="11">
        <f>L7+L20</f>
        <v/>
      </c>
    </row>
    <row r="34">
      <c r="A34" s="4" t="inlineStr">
        <is>
          <t>Revolut - Fundo Emergência</t>
        </is>
      </c>
      <c r="D34" s="11">
        <f>D8+D21</f>
        <v/>
      </c>
      <c r="E34" s="11">
        <f>E8+E21</f>
        <v/>
      </c>
      <c r="F34" s="11">
        <f>F8+F21</f>
        <v/>
      </c>
      <c r="G34" s="11">
        <f>G8+G21</f>
        <v/>
      </c>
      <c r="H34" s="11">
        <f>H8+H21</f>
        <v/>
      </c>
      <c r="I34" s="11">
        <f>I8+I21</f>
        <v/>
      </c>
      <c r="J34" s="11">
        <f>J8+J21</f>
        <v/>
      </c>
      <c r="K34" s="11">
        <f>K8+K21</f>
        <v/>
      </c>
      <c r="L34" s="11">
        <f>L8+L21</f>
        <v/>
      </c>
    </row>
    <row r="35">
      <c r="A35" s="4" t="inlineStr">
        <is>
          <t>Revolut - Wealth Build</t>
        </is>
      </c>
      <c r="D35" s="11">
        <f>D9+D22</f>
        <v/>
      </c>
      <c r="E35" s="11">
        <f>E9+E22</f>
        <v/>
      </c>
      <c r="F35" s="11">
        <f>F9+F22</f>
        <v/>
      </c>
      <c r="G35" s="11">
        <f>G9+G22</f>
        <v/>
      </c>
      <c r="H35" s="11">
        <f>H9+H22</f>
        <v/>
      </c>
      <c r="I35" s="11">
        <f>I9+I22</f>
        <v/>
      </c>
      <c r="J35" s="11">
        <f>J9+J22</f>
        <v/>
      </c>
      <c r="K35" s="11">
        <f>K9+K22</f>
        <v/>
      </c>
      <c r="L35" s="11">
        <f>L9+L22</f>
        <v/>
      </c>
    </row>
    <row r="36">
      <c r="A36" s="4" t="inlineStr">
        <is>
          <t>Robinhood</t>
        </is>
      </c>
      <c r="D36" s="11">
        <f>D10+D23</f>
        <v/>
      </c>
      <c r="E36" s="11">
        <f>E10+E23</f>
        <v/>
      </c>
      <c r="F36" s="11">
        <f>F10+F23</f>
        <v/>
      </c>
      <c r="G36" s="11">
        <f>G10+G23</f>
        <v/>
      </c>
      <c r="H36" s="11">
        <f>H10+H23</f>
        <v/>
      </c>
      <c r="I36" s="11">
        <f>I10+I23</f>
        <v/>
      </c>
      <c r="J36" s="11">
        <f>J10+J23</f>
        <v/>
      </c>
      <c r="K36" s="11">
        <f>K10+K23</f>
        <v/>
      </c>
      <c r="L36" s="11">
        <f>L10+L23</f>
        <v/>
      </c>
    </row>
    <row r="37">
      <c r="A37" s="4" t="inlineStr">
        <is>
          <t>Trade Republic Inv. - Brokerage</t>
        </is>
      </c>
      <c r="D37" s="11">
        <f>D11+D24</f>
        <v/>
      </c>
      <c r="E37" s="11">
        <f>E11+E24</f>
        <v/>
      </c>
      <c r="F37" s="11">
        <f>F11+F24</f>
        <v/>
      </c>
      <c r="G37" s="11">
        <f>G11+G24</f>
        <v/>
      </c>
      <c r="H37" s="11">
        <f>H11+H24</f>
        <v/>
      </c>
      <c r="I37" s="11">
        <f>I11+I24</f>
        <v/>
      </c>
      <c r="J37" s="11">
        <f>J11+J24</f>
        <v/>
      </c>
      <c r="K37" s="11">
        <f>K11+K24</f>
        <v/>
      </c>
      <c r="L37" s="11">
        <f>L11+L24</f>
        <v/>
      </c>
    </row>
    <row r="38">
      <c r="A38" s="4" t="inlineStr">
        <is>
          <t>Trade Republic Inv. - Crypto</t>
        </is>
      </c>
      <c r="D38" s="11">
        <f>D12+D25</f>
        <v/>
      </c>
      <c r="E38" s="11">
        <f>E12+E25</f>
        <v/>
      </c>
      <c r="F38" s="11">
        <f>F12+F25</f>
        <v/>
      </c>
      <c r="G38" s="11">
        <f>G12+G25</f>
        <v/>
      </c>
      <c r="H38" s="11">
        <f>H12+H25</f>
        <v/>
      </c>
      <c r="I38" s="11">
        <f>I12+I25</f>
        <v/>
      </c>
      <c r="J38" s="11">
        <f>J12+J25</f>
        <v/>
      </c>
      <c r="K38" s="11">
        <f>K12+K25</f>
        <v/>
      </c>
      <c r="L38" s="11">
        <f>L12+L25</f>
        <v/>
      </c>
    </row>
    <row r="39">
      <c r="A39" s="4" t="inlineStr">
        <is>
          <t>Trading 212 Account</t>
        </is>
      </c>
      <c r="D39" s="11">
        <f>D13+D26</f>
        <v/>
      </c>
      <c r="E39" s="11">
        <f>E13+E26</f>
        <v/>
      </c>
      <c r="F39" s="11">
        <f>F13+F26</f>
        <v/>
      </c>
      <c r="G39" s="11">
        <f>G13+G26</f>
        <v/>
      </c>
      <c r="H39" s="11">
        <f>H13+H26</f>
        <v/>
      </c>
      <c r="I39" s="11">
        <f>I13+I26</f>
        <v/>
      </c>
      <c r="J39" s="11">
        <f>J13+J26</f>
        <v/>
      </c>
      <c r="K39" s="11">
        <f>K13+K26</f>
        <v/>
      </c>
      <c r="L39" s="11">
        <f>L13+L26</f>
        <v/>
      </c>
    </row>
    <row r="40">
      <c r="A40" s="3" t="inlineStr">
        <is>
          <t>Portfolio</t>
        </is>
      </c>
      <c r="D40" s="8">
        <f>SUM(D32:D39)</f>
        <v/>
      </c>
      <c r="E40" s="8">
        <f>SUM(E32:E39)</f>
        <v/>
      </c>
      <c r="F40" s="8">
        <f>SUM(F32:F39)</f>
        <v/>
      </c>
      <c r="G40" s="8">
        <f>SUM(G32:G39)</f>
        <v/>
      </c>
      <c r="H40" s="8">
        <f>SUM(H32:H39)</f>
        <v/>
      </c>
      <c r="I40" s="8">
        <f>SUM(I32:I39)</f>
        <v/>
      </c>
      <c r="J40" s="8">
        <f>SUM(J32:J39)</f>
        <v/>
      </c>
      <c r="K40" s="8">
        <f>SUM(K32:K39)</f>
        <v/>
      </c>
      <c r="L40" s="8">
        <f>SUM(L32:L39)</f>
        <v/>
      </c>
    </row>
    <row r="43">
      <c r="A43" s="3" t="inlineStr">
        <is>
          <t>Summary at 5 Aug 2026</t>
        </is>
      </c>
    </row>
    <row r="44">
      <c r="A44" s="4" t="inlineStr">
        <is>
          <t>Capital invested</t>
        </is>
      </c>
      <c r="E44" s="12">
        <f>L14</f>
        <v/>
      </c>
    </row>
    <row r="45">
      <c r="A45" s="4" t="inlineStr">
        <is>
          <t>Portfolio value</t>
        </is>
      </c>
      <c r="E45" s="12">
        <f>L40</f>
        <v/>
      </c>
    </row>
    <row r="46">
      <c r="A46" s="4" t="inlineStr">
        <is>
          <t>Return earned</t>
        </is>
      </c>
      <c r="E46" s="12">
        <f>L27</f>
        <v/>
      </c>
    </row>
    <row r="47">
      <c r="A47" s="4" t="inlineStr">
        <is>
          <t>Return on capital</t>
        </is>
      </c>
      <c r="E47" s="14">
        <f>L27/L14</f>
        <v/>
      </c>
    </row>
    <row r="48">
      <c r="A48" s="4" t="inlineStr">
        <is>
          <t>Dividends &amp; interest paid into Trade Republic Account (outside the portfolio)</t>
        </is>
      </c>
      <c r="E48" s="6" t="n">
        <v>24.4</v>
      </c>
    </row>
    <row r="50">
      <c r="A50" s="3" t="inlineStr">
        <is>
          <t>Money-weighted return (cash flows through 31 Jul)</t>
        </is>
      </c>
    </row>
    <row r="51">
      <c r="A51" s="4" t="inlineStr">
        <is>
          <t>Cash flow</t>
        </is>
      </c>
      <c r="D51" s="11">
        <f>-D14</f>
        <v/>
      </c>
      <c r="E51" s="11">
        <f>-(E14-D14)</f>
        <v/>
      </c>
      <c r="F51" s="11">
        <f>-(F14-E14)</f>
        <v/>
      </c>
      <c r="G51" s="11">
        <f>-(G14-F14)</f>
        <v/>
      </c>
      <c r="H51" s="11">
        <f>-(H14-G14)</f>
        <v/>
      </c>
      <c r="I51" s="11">
        <f>-(I14-H14)</f>
        <v/>
      </c>
      <c r="J51" s="11">
        <f>-(J14-I14)</f>
        <v/>
      </c>
      <c r="K51" s="11">
        <f>-(K14-J14)+K40</f>
        <v/>
      </c>
    </row>
    <row r="52">
      <c r="A52" s="4" t="inlineStr">
        <is>
          <t>Monthly rate (IRR)</t>
        </is>
      </c>
      <c r="E52" s="14">
        <f>IRR(D51:K51)</f>
        <v/>
      </c>
    </row>
    <row r="53">
      <c r="A53" s="4" t="inlineStr">
        <is>
          <t>Annualised</t>
        </is>
      </c>
      <c r="E53" s="15">
        <f>(1+E52)^12-1</f>
        <v/>
      </c>
    </row>
    <row r="55">
      <c r="A55" s="2" t="inlineStr">
        <is>
          <t>Returns are measured from 1 Jan 2026: the €13,735 already invested enters as opening capital at its then value, so this is the year's return, not lifetime performance. Value moves only in months where you recorded a delta row. The 30 Jun brokerage row is labelled '(+)' but was entered as money leaving the account, so it is counted as the loss it is.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Charts</t>
        </is>
      </c>
    </row>
    <row r="2">
      <c r="A2" s="2" t="inlineStr">
        <is>
          <t>Both charts read straight from the Balances sheet. In the per-account chart, right-click → Select Data to hide accounts you don't want on screen.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2026-08-09T11:13:18Z</dcterms:created>
  <dcterms:modified xsi:type="dcterms:W3CDTF">2026-08-09T11:13:18Z</dcterms:modified>
</cp:coreProperties>
</file>